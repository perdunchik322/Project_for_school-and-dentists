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Начисления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<sst xmlns="http://schemas.openxmlformats.org/spreadsheetml/2006/main" count="1314" uniqueCount="378">
  <si>
    <t xml:space="preserve">Дата начисления</t>
  </si>
  <si>
    <t xml:space="preserve">Тип начисления</t>
  </si>
  <si>
    <t xml:space="preserve">Номер отправления или идентификатор услуги</t>
  </si>
  <si>
    <t xml:space="preserve">Дата принятия заказа в обработку или оказания услуги</t>
  </si>
  <si>
    <t xml:space="preserve">Склад отгрузки</t>
  </si>
  <si>
    <t xml:space="preserve">SKU</t>
  </si>
  <si>
    <t xml:space="preserve">Артикул</t>
  </si>
  <si>
    <t xml:space="preserve">Название товара или услуги</t>
  </si>
  <si>
    <t xml:space="preserve">Количество</t>
  </si>
  <si>
    <t xml:space="preserve">За продажу или возврат до вычета комиссий и услуг</t>
  </si>
  <si>
    <t xml:space="preserve">Вознаграждение Ozon, %</t>
  </si>
  <si>
    <t xml:space="preserve">Вознаграждение Ozon</t>
  </si>
  <si>
    <t xml:space="preserve">Сборка заказа</t>
  </si>
  <si>
    <t xml:space="preserve">Обработка отправления (Drop-off/Pick-up) (разбивается по товарам пропорционально количеству в отправлении)</t>
  </si>
  <si>
    <t xml:space="preserve">Магистраль</t>
  </si>
  <si>
    <t xml:space="preserve">Последняя миля (разбивается по товарам пропорционально доле цены товара в сумме отправления)</t>
  </si>
  <si>
    <t xml:space="preserve">Обратная магистраль</t>
  </si>
  <si>
    <t xml:space="preserve">Обработка возврата</t>
  </si>
  <si>
    <t xml:space="preserve">Обработка отмененного или невостребованного товара (разбивается по товарам в отправлении в одинаковой пропорции)</t>
  </si>
  <si>
    <t xml:space="preserve">Обработка невыкупленного товара</t>
  </si>
  <si>
    <t xml:space="preserve">Логистика</t>
  </si>
  <si>
    <t xml:space="preserve">Индекс локализации</t>
  </si>
  <si>
    <t xml:space="preserve">Среднее время доставки, часы</t>
  </si>
  <si>
    <t xml:space="preserve">Обратная логистика</t>
  </si>
  <si>
    <t xml:space="preserve">Итого, руб.</t>
  </si>
  <si>
    <t xml:space="preserve">Оплата эквайринга</t>
  </si>
  <si>
    <t xml:space="preserve">50051566-0085</t>
  </si>
  <si>
    <t xml:space="preserve">1718223823</t>
  </si>
  <si>
    <t xml:space="preserve">0615</t>
  </si>
  <si>
    <t xml:space="preserve">Сменные носики для пистолета вода/воздух 2 шт</t>
  </si>
  <si>
    <t xml:space="preserve">Доставка покупателю</t>
  </si>
  <si>
    <t xml:space="preserve">0216575720-0029-4</t>
  </si>
  <si>
    <t xml:space="preserve">FBS</t>
  </si>
  <si>
    <t xml:space="preserve">03978438-0215-1</t>
  </si>
  <si>
    <t xml:space="preserve">0137567039-0149</t>
  </si>
  <si>
    <t xml:space="preserve">1726514972</t>
  </si>
  <si>
    <t xml:space="preserve">10004</t>
  </si>
  <si>
    <t xml:space="preserve">Коврик для ванной и туалета противоскользящий с эффектом памяти 60х40</t>
  </si>
  <si>
    <t xml:space="preserve">0191049596-0011</t>
  </si>
  <si>
    <t xml:space="preserve">864610897</t>
  </si>
  <si>
    <t xml:space="preserve">1059-1</t>
  </si>
  <si>
    <t xml:space="preserve">Диспенсер для картриджей, стоматологический пистолет для смешивания 1:4/1:10</t>
  </si>
  <si>
    <t xml:space="preserve">0153179088-0207-5</t>
  </si>
  <si>
    <t xml:space="preserve">Доставка и обработка возврата, отмены, невыкупа</t>
  </si>
  <si>
    <t xml:space="preserve">0145339520-0018-1</t>
  </si>
  <si>
    <t xml:space="preserve">61904003-0046-1</t>
  </si>
  <si>
    <t xml:space="preserve">881925240</t>
  </si>
  <si>
    <t xml:space="preserve">1118</t>
  </si>
  <si>
    <t xml:space="preserve">Световод для полимеризационных ламп, 8 мм (без металлической обоймы)</t>
  </si>
  <si>
    <t xml:space="preserve">48295293-0065-1</t>
  </si>
  <si>
    <t xml:space="preserve">881721222</t>
  </si>
  <si>
    <t xml:space="preserve">1126</t>
  </si>
  <si>
    <t xml:space="preserve">Световод для полимеризационных ламп Woodpecker с обоймой 12 х 22(перед заказом измерьте посадочные размеры металлической обоймы)</t>
  </si>
  <si>
    <t xml:space="preserve">31085653-0067-1</t>
  </si>
  <si>
    <t xml:space="preserve">0153090100-0268-1</t>
  </si>
  <si>
    <t xml:space="preserve">0225636726-0001-1</t>
  </si>
  <si>
    <t xml:space="preserve">0181313068-0019</t>
  </si>
  <si>
    <t xml:space="preserve">14505646-0055-1</t>
  </si>
  <si>
    <t xml:space="preserve">0183494398-0106</t>
  </si>
  <si>
    <t xml:space="preserve">0114281243-0185-1</t>
  </si>
  <si>
    <t xml:space="preserve">76258205-0059</t>
  </si>
  <si>
    <t xml:space="preserve">69711271-0309-1</t>
  </si>
  <si>
    <t xml:space="preserve">0107052134-0801-1</t>
  </si>
  <si>
    <t xml:space="preserve">886095256</t>
  </si>
  <si>
    <t xml:space="preserve">1198</t>
  </si>
  <si>
    <t xml:space="preserve">WOODPECKER/Насадка пародонтологическая G1 для удаления наддесневого и пришеечного зубного камня, подходит к скалеру Woodpecker, EMS</t>
  </si>
  <si>
    <t xml:space="preserve">0133980419-0085-4</t>
  </si>
  <si>
    <t xml:space="preserve">84370578-0291-1</t>
  </si>
  <si>
    <t xml:space="preserve">62175152-0406-1</t>
  </si>
  <si>
    <t xml:space="preserve">0207786462-0043-1</t>
  </si>
  <si>
    <t xml:space="preserve">92007437-0118-1</t>
  </si>
  <si>
    <t xml:space="preserve">1225146516</t>
  </si>
  <si>
    <t xml:space="preserve">1204</t>
  </si>
  <si>
    <t xml:space="preserve">WOODPECKER/Насадка E3, подходит к скалеру Woodpecker, EMS</t>
  </si>
  <si>
    <t xml:space="preserve">92007437-0117-1</t>
  </si>
  <si>
    <t xml:space="preserve">41925417-0347</t>
  </si>
  <si>
    <t xml:space="preserve">41925417-0347-2</t>
  </si>
  <si>
    <t xml:space="preserve">0141461828-0064-1</t>
  </si>
  <si>
    <t xml:space="preserve">880501954</t>
  </si>
  <si>
    <t xml:space="preserve">1206</t>
  </si>
  <si>
    <t xml:space="preserve">WOODPECKER/Насадка эндодонтическая E2 к скалеру (эндочак с углом наклона 95 градусов) для К-файлов (подходит к Woodpecker, EMS)</t>
  </si>
  <si>
    <t xml:space="preserve">45454427-0369-1</t>
  </si>
  <si>
    <t xml:space="preserve">44361295-0461</t>
  </si>
  <si>
    <t xml:space="preserve">65202549-0310</t>
  </si>
  <si>
    <t xml:space="preserve">1223677779</t>
  </si>
  <si>
    <t xml:space="preserve">1221</t>
  </si>
  <si>
    <t xml:space="preserve">Насадка GD3 для скалеров SATELEC/NSK/DTE</t>
  </si>
  <si>
    <t xml:space="preserve">0210953401-0009-1</t>
  </si>
  <si>
    <t xml:space="preserve">1223661763</t>
  </si>
  <si>
    <t xml:space="preserve">1222</t>
  </si>
  <si>
    <t xml:space="preserve">Насадка GD2 для скалеров SATELEC/NSK/DTE</t>
  </si>
  <si>
    <t xml:space="preserve">1223667376</t>
  </si>
  <si>
    <t xml:space="preserve">1223</t>
  </si>
  <si>
    <t xml:space="preserve">Насадка GD1 для скалеров SATELEC/NSK/DTE</t>
  </si>
  <si>
    <t xml:space="preserve">1216369526</t>
  </si>
  <si>
    <t xml:space="preserve">1227</t>
  </si>
  <si>
    <t xml:space="preserve">Насадка ED3 для скалеров SATELEC/NSK/DTE</t>
  </si>
  <si>
    <t xml:space="preserve">68498472-0024</t>
  </si>
  <si>
    <t xml:space="preserve">1223463036</t>
  </si>
  <si>
    <t xml:space="preserve">1228</t>
  </si>
  <si>
    <t xml:space="preserve">Насадка DTE ED2 для скалеров SATELEC/NSK/DTE</t>
  </si>
  <si>
    <t xml:space="preserve">1223725502</t>
  </si>
  <si>
    <t xml:space="preserve">1229</t>
  </si>
  <si>
    <t xml:space="preserve">Насадка ED1 для скалеров SATELEC/NSK/DTE</t>
  </si>
  <si>
    <t xml:space="preserve">43867139-0042-1</t>
  </si>
  <si>
    <t xml:space="preserve">881850582</t>
  </si>
  <si>
    <t xml:space="preserve">1296</t>
  </si>
  <si>
    <t xml:space="preserve">Пластины для вакуумформера, пластины для изготовления капп (мягкие) 1 мм. 20 шт./уп.</t>
  </si>
  <si>
    <t xml:space="preserve">31228615-0119-14</t>
  </si>
  <si>
    <t xml:space="preserve">912771545</t>
  </si>
  <si>
    <t xml:space="preserve">1889</t>
  </si>
  <si>
    <t xml:space="preserve">Линейка эндодонтическая ED-03 (малая)</t>
  </si>
  <si>
    <t xml:space="preserve">0124616900-0050-1</t>
  </si>
  <si>
    <t xml:space="preserve">881796110</t>
  </si>
  <si>
    <t xml:space="preserve">228</t>
  </si>
  <si>
    <t xml:space="preserve">Вакуумный термоформер JT-18, Зуботехнический вакуумформер настольный для кап, термоформовочный аппарат</t>
  </si>
  <si>
    <t xml:space="preserve">0125732164-0188-1</t>
  </si>
  <si>
    <t xml:space="preserve">FBO</t>
  </si>
  <si>
    <t xml:space="preserve">0147084402-0109-1</t>
  </si>
  <si>
    <t xml:space="preserve">1721797094</t>
  </si>
  <si>
    <t xml:space="preserve">2872</t>
  </si>
  <si>
    <t xml:space="preserve">Турбинный наконечник с кнопкой, средняя головка, одинарный спрей, без света</t>
  </si>
  <si>
    <t xml:space="preserve">07261318-0136</t>
  </si>
  <si>
    <t xml:space="preserve">1703534541</t>
  </si>
  <si>
    <t xml:space="preserve">3309</t>
  </si>
  <si>
    <t xml:space="preserve">Насадка для скалера ES2 (подходит для наконечников Sirona)</t>
  </si>
  <si>
    <t xml:space="preserve">0116063407-0456-1</t>
  </si>
  <si>
    <t xml:space="preserve">0184151368-0096</t>
  </si>
  <si>
    <t xml:space="preserve">1721796941</t>
  </si>
  <si>
    <t xml:space="preserve">3618</t>
  </si>
  <si>
    <t xml:space="preserve">Турбинный наконечник с кнопкой, ортопедическая головка, тройной спрей, без света</t>
  </si>
  <si>
    <t xml:space="preserve">0112224899-0204</t>
  </si>
  <si>
    <t xml:space="preserve">0184151368-0098</t>
  </si>
  <si>
    <t xml:space="preserve">0112224899-0204-2</t>
  </si>
  <si>
    <t xml:space="preserve">0146183767-0028-1</t>
  </si>
  <si>
    <t xml:space="preserve">893708872</t>
  </si>
  <si>
    <t xml:space="preserve">3626-2</t>
  </si>
  <si>
    <t xml:space="preserve">Ирригационная трубка для физиодиспенсеров NSK, Saeshin X-Cube, Elite, 10 штук</t>
  </si>
  <si>
    <t xml:space="preserve">0184464486-0027-3</t>
  </si>
  <si>
    <t xml:space="preserve">77048796-0072-1</t>
  </si>
  <si>
    <t xml:space="preserve">31157759-0528</t>
  </si>
  <si>
    <t xml:space="preserve">0194068733-0089-5</t>
  </si>
  <si>
    <t xml:space="preserve">1401707929</t>
  </si>
  <si>
    <t xml:space="preserve">373</t>
  </si>
  <si>
    <t xml:space="preserve">Диск карборундовый JT-214 для триммера JT-19</t>
  </si>
  <si>
    <t xml:space="preserve">0137071352-0064-2</t>
  </si>
  <si>
    <t xml:space="preserve">0222719523-0002-4</t>
  </si>
  <si>
    <t xml:space="preserve">0100642986-0272</t>
  </si>
  <si>
    <t xml:space="preserve">45002203-0239</t>
  </si>
  <si>
    <t xml:space="preserve">59397012-0537-1</t>
  </si>
  <si>
    <t xml:space="preserve">59838432-0603-1</t>
  </si>
  <si>
    <t xml:space="preserve">3001381006</t>
  </si>
  <si>
    <t xml:space="preserve">377-царапины</t>
  </si>
  <si>
    <t xml:space="preserve">Пиндекс JT-16, Laser Pin сверлильный станок для штифтования разборных гипсовых моделей, с лазерным позиционированием. Товар уцененный</t>
  </si>
  <si>
    <t xml:space="preserve">59711088-0030-1</t>
  </si>
  <si>
    <t xml:space="preserve">881914041</t>
  </si>
  <si>
    <t xml:space="preserve">3926</t>
  </si>
  <si>
    <t xml:space="preserve">Световод к полимеризационной лампе LEDEX WL-070 с обоймой 10 х 15(перед заказом измерьте посадочные размеры металлической обоймы)</t>
  </si>
  <si>
    <t xml:space="preserve">64979427-0392</t>
  </si>
  <si>
    <t xml:space="preserve">74301346-0006-1</t>
  </si>
  <si>
    <t xml:space="preserve">29016433-0346</t>
  </si>
  <si>
    <t xml:space="preserve">34829911-0121</t>
  </si>
  <si>
    <t xml:space="preserve">28194057-0144-1</t>
  </si>
  <si>
    <t xml:space="preserve">64979427-0392-1</t>
  </si>
  <si>
    <t xml:space="preserve">43829349-1621</t>
  </si>
  <si>
    <t xml:space="preserve">1800049983</t>
  </si>
  <si>
    <t xml:space="preserve">3949-1</t>
  </si>
  <si>
    <t xml:space="preserve">Диспенсер для ватных валиков нажимной, контейнер для стоматологических ватных валиков</t>
  </si>
  <si>
    <t xml:space="preserve">43829349-1621-1</t>
  </si>
  <si>
    <t xml:space="preserve">83295710-0290</t>
  </si>
  <si>
    <t xml:space="preserve">1348520684</t>
  </si>
  <si>
    <t xml:space="preserve">3953-2 шт</t>
  </si>
  <si>
    <t xml:space="preserve">Загубник для апекслокатора - 2 штуки</t>
  </si>
  <si>
    <t xml:space="preserve">32699584-0112</t>
  </si>
  <si>
    <t xml:space="preserve">83295710-0290-1</t>
  </si>
  <si>
    <t xml:space="preserve">0113625431-0002</t>
  </si>
  <si>
    <t xml:space="preserve">1739811215</t>
  </si>
  <si>
    <t xml:space="preserve">3953-5</t>
  </si>
  <si>
    <t xml:space="preserve">Загубник для апекслокатора - 5 штук</t>
  </si>
  <si>
    <t xml:space="preserve">0124913717-0050-1</t>
  </si>
  <si>
    <t xml:space="preserve">40157434-0355-1</t>
  </si>
  <si>
    <t xml:space="preserve">0113625431-0002-1</t>
  </si>
  <si>
    <t xml:space="preserve">83601020-0191</t>
  </si>
  <si>
    <t xml:space="preserve">892005040</t>
  </si>
  <si>
    <t xml:space="preserve">3999</t>
  </si>
  <si>
    <t xml:space="preserve">Стоматологический воздушный скейлер M4, с 3 насадками G1/G2/P1, инструмент для полировки зубов, скалер пневматический</t>
  </si>
  <si>
    <t xml:space="preserve">83601020-0191-2</t>
  </si>
  <si>
    <t xml:space="preserve">33440170-0325</t>
  </si>
  <si>
    <t xml:space="preserve">880512516</t>
  </si>
  <si>
    <t xml:space="preserve">4018</t>
  </si>
  <si>
    <t xml:space="preserve">Подставка для стоматологических боров металлическая на 30 шт. цвет золотой, бокс для дезинфекции алмазных боров</t>
  </si>
  <si>
    <t xml:space="preserve">36922909-0314</t>
  </si>
  <si>
    <t xml:space="preserve">0151302340-0048-2</t>
  </si>
  <si>
    <t xml:space="preserve">0222011124-0017-1</t>
  </si>
  <si>
    <t xml:space="preserve">0142397639-0018</t>
  </si>
  <si>
    <t xml:space="preserve">0200422182-0046-20</t>
  </si>
  <si>
    <t xml:space="preserve">36922909-0314-1</t>
  </si>
  <si>
    <t xml:space="preserve">0207545237-0107-3</t>
  </si>
  <si>
    <t xml:space="preserve">880658220</t>
  </si>
  <si>
    <t xml:space="preserve">4020</t>
  </si>
  <si>
    <t xml:space="preserve">Подставка для стоматологических боров металлическая на 30 шт. цвет фиолетовый, бокс для дезинфекции алмазных боров</t>
  </si>
  <si>
    <t xml:space="preserve">44739898-0489</t>
  </si>
  <si>
    <t xml:space="preserve">1703534414</t>
  </si>
  <si>
    <t xml:space="preserve">4551</t>
  </si>
  <si>
    <t xml:space="preserve">Насадка для скалера GS4 (подходит для наконечников Sirona)</t>
  </si>
  <si>
    <t xml:space="preserve">0116063407-0454-1</t>
  </si>
  <si>
    <t xml:space="preserve">44739898-0489-7</t>
  </si>
  <si>
    <t xml:space="preserve">35149883-0231-1</t>
  </si>
  <si>
    <t xml:space="preserve">879502605</t>
  </si>
  <si>
    <t xml:space="preserve">4591</t>
  </si>
  <si>
    <t xml:space="preserve">WOODPECKER/ Шланг DTE LED для наконечника скалера HD-7L</t>
  </si>
  <si>
    <t xml:space="preserve">0134115059-0575</t>
  </si>
  <si>
    <t xml:space="preserve">0134115059-0576</t>
  </si>
  <si>
    <t xml:space="preserve">16775601-0388-1</t>
  </si>
  <si>
    <t xml:space="preserve">57310917-0118-1</t>
  </si>
  <si>
    <t xml:space="preserve">864559159</t>
  </si>
  <si>
    <t xml:space="preserve">5120</t>
  </si>
  <si>
    <t xml:space="preserve">Щеточка для фрез, латунная щетка для чистки боров</t>
  </si>
  <si>
    <t xml:space="preserve">0130645524-0061</t>
  </si>
  <si>
    <t xml:space="preserve">97018858-0101-2</t>
  </si>
  <si>
    <t xml:space="preserve">867231718</t>
  </si>
  <si>
    <t xml:space="preserve">5120-1</t>
  </si>
  <si>
    <t xml:space="preserve">Щеточка для фрез, латунная щетка для чистки боров 10 штук</t>
  </si>
  <si>
    <t xml:space="preserve">71683577-0084-1</t>
  </si>
  <si>
    <t xml:space="preserve">0165941287-0139</t>
  </si>
  <si>
    <t xml:space="preserve">878476175</t>
  </si>
  <si>
    <t xml:space="preserve">5142</t>
  </si>
  <si>
    <t xml:space="preserve">Набор позиционеров для визиографа</t>
  </si>
  <si>
    <t xml:space="preserve">0110028217-0077-1</t>
  </si>
  <si>
    <t xml:space="preserve">0151267231-0003</t>
  </si>
  <si>
    <t xml:space="preserve">56010916-0090-1</t>
  </si>
  <si>
    <t xml:space="preserve">0190223985-0046-1</t>
  </si>
  <si>
    <t xml:space="preserve">1268122241</t>
  </si>
  <si>
    <t xml:space="preserve">5146</t>
  </si>
  <si>
    <t xml:space="preserve">Woodpecker N3 LED, Ультразвуковой скейлер со светом и эндофункцией, для чистки зубов, встраиваемый в стоматологическую установку</t>
  </si>
  <si>
    <t xml:space="preserve">0172395777-0065</t>
  </si>
  <si>
    <t xml:space="preserve">872807206</t>
  </si>
  <si>
    <t xml:space="preserve">5179</t>
  </si>
  <si>
    <t xml:space="preserve">Чехол на кресло под ноги пациента, защита на кресло под ноги пациента</t>
  </si>
  <si>
    <t xml:space="preserve">0173259253-0643-1</t>
  </si>
  <si>
    <t xml:space="preserve">0173259253-0642-1</t>
  </si>
  <si>
    <t xml:space="preserve">30028271-0008-1</t>
  </si>
  <si>
    <t xml:space="preserve">0138167570-0676-1</t>
  </si>
  <si>
    <t xml:space="preserve">0190452763-0010</t>
  </si>
  <si>
    <t xml:space="preserve">881799647</t>
  </si>
  <si>
    <t xml:space="preserve">5268</t>
  </si>
  <si>
    <t xml:space="preserve">Световод к полимеризационной лампе с обоймой 12 х 15(перед заказом измерьте посадочные размеры металлической обоймы)</t>
  </si>
  <si>
    <t xml:space="preserve">33055936-0050-1</t>
  </si>
  <si>
    <t xml:space="preserve">56890252-0415-1</t>
  </si>
  <si>
    <t xml:space="preserve">0190452763-0010-1</t>
  </si>
  <si>
    <t xml:space="preserve">49939196-0434-2</t>
  </si>
  <si>
    <t xml:space="preserve">889155707</t>
  </si>
  <si>
    <t xml:space="preserve">5329</t>
  </si>
  <si>
    <t xml:space="preserve">Калибровочная линейка эндодонтическая стоматологическая для измерения гуттаперчи и штифтов B008</t>
  </si>
  <si>
    <t xml:space="preserve">39384005-0333-2</t>
  </si>
  <si>
    <t xml:space="preserve">957086024</t>
  </si>
  <si>
    <t xml:space="preserve">5595</t>
  </si>
  <si>
    <t xml:space="preserve">Щеточка полировальная нейлоновая для углового наконечника, полировальная щеточка 10 шт</t>
  </si>
  <si>
    <t xml:space="preserve">74792847-0178-1</t>
  </si>
  <si>
    <t xml:space="preserve">60040190-0189-2</t>
  </si>
  <si>
    <t xml:space="preserve">896605869</t>
  </si>
  <si>
    <t xml:space="preserve">5596</t>
  </si>
  <si>
    <t xml:space="preserve">36306984-0192</t>
  </si>
  <si>
    <t xml:space="preserve">0147120439-0209-1</t>
  </si>
  <si>
    <t xml:space="preserve">2014057643</t>
  </si>
  <si>
    <t xml:space="preserve">5827</t>
  </si>
  <si>
    <t xml:space="preserve">Бокс эндодонтический для стерилизации и хранения инструментов, боров, Эндобокс-Подставка для инструментов, синий</t>
  </si>
  <si>
    <t xml:space="preserve">0151753353-0031-1</t>
  </si>
  <si>
    <t xml:space="preserve">1158102121</t>
  </si>
  <si>
    <t xml:space="preserve">586</t>
  </si>
  <si>
    <t xml:space="preserve">Светильник стоматологический светодиодный LED 22x45 V1, 6 ламп, управление взмахом руки, регулировка сильного и слабого освещения</t>
  </si>
  <si>
    <t xml:space="preserve">0134892782-0052-1</t>
  </si>
  <si>
    <t xml:space="preserve">33953043-0280</t>
  </si>
  <si>
    <t xml:space="preserve">1284746162</t>
  </si>
  <si>
    <t xml:space="preserve">594</t>
  </si>
  <si>
    <t xml:space="preserve">Шланг турбинный четырехканальный, шланг для стоматологических инструментов разъем Midwest</t>
  </si>
  <si>
    <t xml:space="preserve">0159787698-0049</t>
  </si>
  <si>
    <t xml:space="preserve">0145798951-0060-1</t>
  </si>
  <si>
    <t xml:space="preserve">913048800</t>
  </si>
  <si>
    <t xml:space="preserve">613</t>
  </si>
  <si>
    <t xml:space="preserve">Стоматологический наконечник пистолет вода-воздух ПУСТЕР, прямой</t>
  </si>
  <si>
    <t xml:space="preserve">97259599-0201-1</t>
  </si>
  <si>
    <t xml:space="preserve">44917523-1638</t>
  </si>
  <si>
    <t xml:space="preserve">68677937-0052-2</t>
  </si>
  <si>
    <t xml:space="preserve">880700129</t>
  </si>
  <si>
    <t xml:space="preserve">6187</t>
  </si>
  <si>
    <t xml:space="preserve">Подставка для стоматологических боров металлическая на 30 шт. цвет красный, бокс для дезинфекции алмазных боров</t>
  </si>
  <si>
    <t xml:space="preserve">73704069-0157-1</t>
  </si>
  <si>
    <t xml:space="preserve">61351833-0224</t>
  </si>
  <si>
    <t xml:space="preserve">1784324967</t>
  </si>
  <si>
    <t xml:space="preserve">6236</t>
  </si>
  <si>
    <t xml:space="preserve">Насадка P3 для скалеров EMS и Woodpecker, пародонтологическая, для очистки и промывания глубоких зубодесневых карманов</t>
  </si>
  <si>
    <t xml:space="preserve">880675137</t>
  </si>
  <si>
    <t xml:space="preserve">6348</t>
  </si>
  <si>
    <t xml:space="preserve">Подставка для стоматологических боров металлическая на 30 шт. , цвет серебряный, бокс для дезинфекции алмазных боров</t>
  </si>
  <si>
    <t xml:space="preserve">23751132-0054</t>
  </si>
  <si>
    <t xml:space="preserve">75486848-0511-2</t>
  </si>
  <si>
    <t xml:space="preserve">23751132-0054-1</t>
  </si>
  <si>
    <t xml:space="preserve">0156509043-0148</t>
  </si>
  <si>
    <t xml:space="preserve">1524951707</t>
  </si>
  <si>
    <t xml:space="preserve">6388-1</t>
  </si>
  <si>
    <t xml:space="preserve">Бокс для боров 72 отверстия, Дезинфекционный бокс для боров, Эндобокс-Подставка</t>
  </si>
  <si>
    <t xml:space="preserve">70867558-0330</t>
  </si>
  <si>
    <t xml:space="preserve">60930021-0012-1</t>
  </si>
  <si>
    <t xml:space="preserve">86280984-0073-1</t>
  </si>
  <si>
    <t xml:space="preserve">34574473-0176-1</t>
  </si>
  <si>
    <t xml:space="preserve">964710787</t>
  </si>
  <si>
    <t xml:space="preserve">6401</t>
  </si>
  <si>
    <t xml:space="preserve">Щуп зажим для апекслокатора Woodpecker, Держатель файла апекслокатора (файлодержатель)</t>
  </si>
  <si>
    <t xml:space="preserve">45748232-0237-1</t>
  </si>
  <si>
    <t xml:space="preserve">55963845-0360-1</t>
  </si>
  <si>
    <t xml:space="preserve">48501614-0253</t>
  </si>
  <si>
    <t xml:space="preserve">26266456-0259-1</t>
  </si>
  <si>
    <t xml:space="preserve">959086651</t>
  </si>
  <si>
    <t xml:space="preserve">643</t>
  </si>
  <si>
    <t xml:space="preserve">Педаль стоматологическая c переключателем (без шланга). Педаль управления инструментами.</t>
  </si>
  <si>
    <t xml:space="preserve">0215984480-0003</t>
  </si>
  <si>
    <t xml:space="preserve">0215984480-0003-1</t>
  </si>
  <si>
    <t xml:space="preserve">0156211853-0109</t>
  </si>
  <si>
    <t xml:space="preserve">1068315445</t>
  </si>
  <si>
    <t xml:space="preserve">6440</t>
  </si>
  <si>
    <t xml:space="preserve">Бокс для боров и эндофайлов на 120 отверстий, Дезинфекционный бокс для боров, автоклавирование</t>
  </si>
  <si>
    <t xml:space="preserve">81163389-0900</t>
  </si>
  <si>
    <t xml:space="preserve">1225000700</t>
  </si>
  <si>
    <t xml:space="preserve">6467</t>
  </si>
  <si>
    <t xml:space="preserve">WOODPECKER/Насадка G2T, подходит к скалеру Woodpecker, EMS</t>
  </si>
  <si>
    <t xml:space="preserve">81163389-0900-1</t>
  </si>
  <si>
    <t xml:space="preserve">41925417-0346-1</t>
  </si>
  <si>
    <t xml:space="preserve">3093999832</t>
  </si>
  <si>
    <t xml:space="preserve">6471</t>
  </si>
  <si>
    <t xml:space="preserve">Насадка E1T для скалеров EMS и Woodpecker (эндочак 120)</t>
  </si>
  <si>
    <t xml:space="preserve">66695151-0463-1</t>
  </si>
  <si>
    <t xml:space="preserve">1262966221</t>
  </si>
  <si>
    <t xml:space="preserve">6495</t>
  </si>
  <si>
    <t xml:space="preserve">0142242697-0289-1</t>
  </si>
  <si>
    <t xml:space="preserve">82292559-0143</t>
  </si>
  <si>
    <t xml:space="preserve">79021165-0150-1</t>
  </si>
  <si>
    <t xml:space="preserve">26217331-0244-1</t>
  </si>
  <si>
    <t xml:space="preserve">37329952-0177-1</t>
  </si>
  <si>
    <t xml:space="preserve">0163448383-0353</t>
  </si>
  <si>
    <t xml:space="preserve">0163448383-0353-1</t>
  </si>
  <si>
    <t xml:space="preserve">0193657808-0086</t>
  </si>
  <si>
    <t xml:space="preserve">0114904979-0073</t>
  </si>
  <si>
    <t xml:space="preserve">0183888858-0021-1</t>
  </si>
  <si>
    <t xml:space="preserve">35060955-0316-1</t>
  </si>
  <si>
    <t xml:space="preserve">0124553789-0191-1</t>
  </si>
  <si>
    <t xml:space="preserve">68064108-0271-1</t>
  </si>
  <si>
    <t xml:space="preserve">92011662-0308-1</t>
  </si>
  <si>
    <t xml:space="preserve">1623727993</t>
  </si>
  <si>
    <t xml:space="preserve">6546</t>
  </si>
  <si>
    <t xml:space="preserve">Ручка (наконечник / рукоятка ) к электрошпателю ручному JT-21, набор 2 шт.</t>
  </si>
  <si>
    <t xml:space="preserve">0162990779-0075</t>
  </si>
  <si>
    <t xml:space="preserve">0104886682-0768</t>
  </si>
  <si>
    <t xml:space="preserve">1844076560</t>
  </si>
  <si>
    <t xml:space="preserve">6546-1шт</t>
  </si>
  <si>
    <t xml:space="preserve">Ручка (наконечник / рукоятка ) к электрошпателю ручному JT-21, 1 шт</t>
  </si>
  <si>
    <t xml:space="preserve">0126139868-0111-1</t>
  </si>
  <si>
    <t xml:space="preserve">0136775936-0037-1</t>
  </si>
  <si>
    <t xml:space="preserve">0131354011-6674</t>
  </si>
  <si>
    <t xml:space="preserve">0104886682-0768-2</t>
  </si>
  <si>
    <t xml:space="preserve">48408566-0181-1</t>
  </si>
  <si>
    <t xml:space="preserve">0143266070-0015-1</t>
  </si>
  <si>
    <t xml:space="preserve">0118251659-0336</t>
  </si>
  <si>
    <t xml:space="preserve">1702057917</t>
  </si>
  <si>
    <t xml:space="preserve">6560</t>
  </si>
  <si>
    <t xml:space="preserve">Провод измерительный для апекслокаторов DPEX</t>
  </si>
  <si>
    <t xml:space="preserve">73730136-0203-1</t>
  </si>
  <si>
    <t xml:space="preserve">97155877-0347</t>
  </si>
  <si>
    <t xml:space="preserve">11082710-0324</t>
  </si>
  <si>
    <t xml:space="preserve">45616930-0505-1</t>
  </si>
  <si>
    <t xml:space="preserve">80375490-0071-1</t>
  </si>
  <si>
    <t xml:space="preserve">04643533-0762-1</t>
  </si>
  <si>
    <t xml:space="preserve">1739868879</t>
  </si>
  <si>
    <t xml:space="preserve">6565</t>
  </si>
  <si>
    <t xml:space="preserve">Upgraded Learning KIT, набор для конструирования в среде Arduino</t>
  </si>
  <si>
    <t xml:space="preserve">0129965515-0028-1</t>
  </si>
  <si>
    <t xml:space="preserve">44824625-0744</t>
  </si>
  <si>
    <t xml:space="preserve">Обработка операционных ошибок продавца: отгрузка в нерекомендованный слот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</si>
</sst>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0"/>
    <numFmt numFmtId="167" formatCode="0.00"/>
    <numFmt numFmtId="168" formatCode="0%"/>
    <numFmt numFmtId="169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36"/>
  <sheetViews>
    <sheetView showFormulas="false" showGridLines="true" showRowColHeaders="true" showZeros="true" rightToLeft="false" tabSelected="true" showOutlineSymbols="true" defaultGridColor="true" view="normal" topLeftCell="P38" colorId="64" zoomScale="80" zoomScaleNormal="80" zoomScalePageLayoutView="100" workbookViewId="0">
      <selection pane="topLeft" activeCell="S75" activeCellId="0" sqref="S75"/>
    </sheetView>
  </sheetViews>
  <sheetFormatPr defaultColWidth="8.66015625" defaultRowHeight="12.8" zeroHeight="false" outlineLevelRow="0" outlineLevelCol="0"/>
  <cols>
    <col collapsed="false" customWidth="true" hidden="false" outlineLevel="0" max="1" min="1" style="1" width="12.22"/>
    <col collapsed="false" customWidth="true" hidden="false" outlineLevel="0" max="2" min="2" style="1" width="47.85"/>
    <col collapsed="false" customWidth="true" hidden="false" outlineLevel="0" max="4" min="3" style="1" width="19.34"/>
    <col collapsed="false" customWidth="true" hidden="false" outlineLevel="0" max="5" min="5" style="1" width="8.15"/>
    <col collapsed="false" customWidth="true" hidden="false" outlineLevel="0" max="6" min="6" style="1" width="17.3"/>
    <col collapsed="false" customWidth="true" hidden="false" outlineLevel="0" max="7" min="7" style="1" width="18.34"/>
    <col collapsed="false" customWidth="true" hidden="false" outlineLevel="0" max="8" min="8" style="1" width="44.79"/>
    <col collapsed="false" customWidth="true" hidden="false" outlineLevel="0" max="9" min="9" style="1" width="15.58"/>
    <col collapsed="false" customWidth="true" hidden="false" outlineLevel="0" max="10" min="10" style="1" width="33.39"/>
    <col collapsed="false" customWidth="true" hidden="false" outlineLevel="0" max="11" min="11" style="1" width="29.49"/>
    <col collapsed="false" customWidth="true" hidden="false" outlineLevel="0" max="12" min="12" style="1" width="10.18"/>
    <col collapsed="false" customWidth="true" hidden="false" outlineLevel="0" max="13" min="13" style="1" width="8.15"/>
    <col collapsed="false" customWidth="true" hidden="false" outlineLevel="0" max="14" min="14" style="1" width="21.38"/>
    <col collapsed="false" customWidth="true" hidden="false" outlineLevel="0" max="15" min="15" style="1" width="11.2"/>
    <col collapsed="false" customWidth="true" hidden="false" outlineLevel="0" max="17" min="16" style="1" width="21.38"/>
    <col collapsed="false" customWidth="true" hidden="false" outlineLevel="0" max="18" min="18" style="1" width="10.18"/>
    <col collapsed="false" customWidth="true" hidden="false" outlineLevel="0" max="19" min="19" style="1" width="26.47"/>
    <col collapsed="false" customWidth="true" hidden="false" outlineLevel="0" max="20" min="20" style="1" width="17.3"/>
    <col collapsed="false" customWidth="true" hidden="false" outlineLevel="0" max="21" min="21" style="1" width="15.27"/>
    <col collapsed="false" customWidth="true" hidden="false" outlineLevel="0" max="23" min="22" style="1" width="12.22"/>
    <col collapsed="false" customWidth="true" hidden="false" outlineLevel="0" max="24" min="24" style="1" width="15.27"/>
    <col collapsed="false" customWidth="true" hidden="false" outlineLevel="0" max="25" min="25" style="1" width="10.18"/>
  </cols>
  <sheetData>
    <row r="1" customFormat="false" ht="108.9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customFormat="false" ht="12.8" hidden="false" customHeight="false" outlineLevel="0" collapsed="false">
      <c r="A2" s="3" t="n">
        <v>45987</v>
      </c>
      <c r="B2" s="1" t="s">
        <v>25</v>
      </c>
      <c r="C2" s="1" t="s">
        <v>26</v>
      </c>
      <c r="D2" s="3" t="n">
        <v>45987.481446759</v>
      </c>
      <c r="F2" s="4" t="s">
        <v>27</v>
      </c>
      <c r="G2" s="1" t="s">
        <v>28</v>
      </c>
      <c r="H2" s="1" t="s">
        <v>29</v>
      </c>
      <c r="I2" s="4" t="n">
        <v>1</v>
      </c>
      <c r="J2" s="5" t="n">
        <v>0</v>
      </c>
      <c r="K2" s="6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4"/>
      <c r="W2" s="4"/>
      <c r="X2" s="5" t="n">
        <v>0</v>
      </c>
      <c r="Y2" s="5" t="n">
        <v>-7.67</v>
      </c>
    </row>
    <row r="3" customFormat="false" ht="12.8" hidden="false" customHeight="false" outlineLevel="0" collapsed="false">
      <c r="A3" s="3" t="n">
        <v>45989</v>
      </c>
      <c r="B3" s="1" t="s">
        <v>30</v>
      </c>
      <c r="C3" s="1" t="s">
        <v>31</v>
      </c>
      <c r="D3" s="3" t="n">
        <v>45986.489317129</v>
      </c>
      <c r="E3" s="1" t="s">
        <v>32</v>
      </c>
      <c r="F3" s="4" t="s">
        <v>27</v>
      </c>
      <c r="G3" s="1" t="s">
        <v>28</v>
      </c>
      <c r="H3" s="1" t="s">
        <v>29</v>
      </c>
      <c r="I3" s="4" t="n">
        <v>6</v>
      </c>
      <c r="J3" s="5" t="n">
        <v>3000</v>
      </c>
      <c r="K3" s="6" t="n">
        <v>0.41</v>
      </c>
      <c r="L3" s="5" t="n">
        <v>-1230</v>
      </c>
      <c r="M3" s="5" t="n">
        <v>0</v>
      </c>
      <c r="N3" s="5" t="n">
        <v>-30</v>
      </c>
      <c r="O3" s="5" t="n">
        <v>0</v>
      </c>
      <c r="P3" s="5" t="n">
        <v>-12.78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-480</v>
      </c>
      <c r="V3" s="4"/>
      <c r="W3" s="4"/>
      <c r="X3" s="5" t="n">
        <v>0</v>
      </c>
      <c r="Y3" s="5" t="n">
        <v>1247.22</v>
      </c>
      <c r="AD3" s="0" t="n">
        <v>2</v>
      </c>
      <c r="AE3" s="7" t="n">
        <f aca="false">AD3/$AD$10</f>
        <v>0.0909090909090909</v>
      </c>
      <c r="AF3" s="7" t="n">
        <f aca="false">AE3*$AD$11</f>
        <v>-0.454545454545455</v>
      </c>
      <c r="AG3" s="7" t="n">
        <f aca="false">AD3+AF3</f>
        <v>1.54545454545455</v>
      </c>
    </row>
    <row r="4" customFormat="false" ht="12.8" hidden="false" customHeight="false" outlineLevel="0" collapsed="false">
      <c r="A4" s="3" t="n">
        <v>45989</v>
      </c>
      <c r="B4" s="1" t="s">
        <v>30</v>
      </c>
      <c r="C4" s="1" t="s">
        <v>33</v>
      </c>
      <c r="D4" s="3" t="n">
        <v>45985.772604166</v>
      </c>
      <c r="E4" s="1" t="s">
        <v>32</v>
      </c>
      <c r="F4" s="4" t="s">
        <v>27</v>
      </c>
      <c r="G4" s="1" t="s">
        <v>28</v>
      </c>
      <c r="H4" s="1" t="s">
        <v>29</v>
      </c>
      <c r="I4" s="4" t="n">
        <v>2</v>
      </c>
      <c r="J4" s="5" t="n">
        <v>1000</v>
      </c>
      <c r="K4" s="6" t="n">
        <v>0.44</v>
      </c>
      <c r="L4" s="5" t="n">
        <v>-440</v>
      </c>
      <c r="M4" s="5" t="n">
        <v>0</v>
      </c>
      <c r="N4" s="5" t="n">
        <v>-30</v>
      </c>
      <c r="O4" s="5" t="n">
        <v>0</v>
      </c>
      <c r="P4" s="5" t="n">
        <v>-5.02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-160</v>
      </c>
      <c r="V4" s="4"/>
      <c r="W4" s="4"/>
      <c r="X4" s="5" t="n">
        <v>0</v>
      </c>
      <c r="Y4" s="5" t="n">
        <v>364.98</v>
      </c>
      <c r="AD4" s="0" t="n">
        <v>2</v>
      </c>
      <c r="AE4" s="7" t="n">
        <f aca="false">AD4/$AD$10</f>
        <v>0.0909090909090909</v>
      </c>
      <c r="AF4" s="7" t="n">
        <f aca="false">AE4*$AD$11</f>
        <v>-0.454545454545455</v>
      </c>
      <c r="AG4" s="7" t="n">
        <f aca="false">AD4+AF4</f>
        <v>1.54545454545455</v>
      </c>
    </row>
    <row r="5" customFormat="false" ht="12.8" hidden="false" customHeight="false" outlineLevel="0" collapsed="false">
      <c r="A5" s="3" t="n">
        <v>45989</v>
      </c>
      <c r="B5" s="1" t="s">
        <v>25</v>
      </c>
      <c r="C5" s="1" t="s">
        <v>33</v>
      </c>
      <c r="D5" s="3" t="n">
        <v>45985.772604166</v>
      </c>
      <c r="F5" s="4" t="s">
        <v>27</v>
      </c>
      <c r="G5" s="1" t="s">
        <v>28</v>
      </c>
      <c r="H5" s="1" t="s">
        <v>29</v>
      </c>
      <c r="I5" s="4" t="n">
        <v>2</v>
      </c>
      <c r="J5" s="5" t="n">
        <v>0</v>
      </c>
      <c r="K5" s="6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4"/>
      <c r="W5" s="4"/>
      <c r="X5" s="5" t="n">
        <v>0</v>
      </c>
      <c r="Y5" s="5" t="n">
        <v>-11.94</v>
      </c>
      <c r="AD5" s="0" t="n">
        <v>2</v>
      </c>
      <c r="AE5" s="7" t="n">
        <f aca="false">AD5/$AD$10</f>
        <v>0.0909090909090909</v>
      </c>
      <c r="AF5" s="7" t="n">
        <f aca="false">AE5*$AD$11</f>
        <v>-0.454545454545455</v>
      </c>
      <c r="AG5" s="7" t="n">
        <f aca="false">AD5+AF5</f>
        <v>1.54545454545455</v>
      </c>
    </row>
    <row r="6" customFormat="false" ht="13.05" hidden="false" customHeight="true" outlineLevel="0" collapsed="false">
      <c r="A6" s="3" t="n">
        <v>45987</v>
      </c>
      <c r="B6" s="1" t="s">
        <v>25</v>
      </c>
      <c r="C6" s="1" t="s">
        <v>34</v>
      </c>
      <c r="D6" s="3" t="n">
        <v>45987.941122685</v>
      </c>
      <c r="F6" s="4" t="s">
        <v>35</v>
      </c>
      <c r="G6" s="1" t="s">
        <v>36</v>
      </c>
      <c r="H6" s="1" t="s">
        <v>37</v>
      </c>
      <c r="I6" s="4" t="n">
        <v>1</v>
      </c>
      <c r="J6" s="5" t="n">
        <v>0</v>
      </c>
      <c r="K6" s="6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4"/>
      <c r="W6" s="4"/>
      <c r="X6" s="5" t="n">
        <v>0</v>
      </c>
      <c r="Y6" s="5" t="n">
        <v>-7.26</v>
      </c>
      <c r="AD6" s="0" t="n">
        <v>2</v>
      </c>
      <c r="AE6" s="7" t="n">
        <f aca="false">AD6/$AD$10</f>
        <v>0.0909090909090909</v>
      </c>
      <c r="AF6" s="7" t="n">
        <f aca="false">AE6*$AD$11</f>
        <v>-0.454545454545455</v>
      </c>
      <c r="AG6" s="7" t="n">
        <f aca="false">AD6+AF6</f>
        <v>1.54545454545455</v>
      </c>
    </row>
    <row r="7" customFormat="false" ht="9.3" hidden="false" customHeight="true" outlineLevel="0" collapsed="false">
      <c r="A7" s="3" t="n">
        <v>45987</v>
      </c>
      <c r="B7" s="1" t="s">
        <v>25</v>
      </c>
      <c r="C7" s="1" t="s">
        <v>38</v>
      </c>
      <c r="D7" s="3" t="n">
        <v>45987.711921296</v>
      </c>
      <c r="F7" s="4" t="s">
        <v>39</v>
      </c>
      <c r="G7" s="1" t="s">
        <v>40</v>
      </c>
      <c r="H7" s="1" t="s">
        <v>41</v>
      </c>
      <c r="I7" s="4" t="n">
        <v>1</v>
      </c>
      <c r="J7" s="5" t="n">
        <v>0</v>
      </c>
      <c r="K7" s="6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4"/>
      <c r="W7" s="4"/>
      <c r="X7" s="5" t="n">
        <v>0</v>
      </c>
      <c r="Y7" s="5" t="n">
        <v>-24.94</v>
      </c>
      <c r="AD7" s="0" t="n">
        <v>2</v>
      </c>
      <c r="AE7" s="7" t="n">
        <f aca="false">AD7/$AD$10</f>
        <v>0.0909090909090909</v>
      </c>
      <c r="AF7" s="7" t="n">
        <f aca="false">AE7*$AD$11</f>
        <v>-0.454545454545455</v>
      </c>
      <c r="AG7" s="7" t="n">
        <f aca="false">AD7+AF7</f>
        <v>1.54545454545455</v>
      </c>
    </row>
    <row r="8" customFormat="false" ht="12.8" hidden="false" customHeight="false" outlineLevel="0" collapsed="false">
      <c r="A8" s="3" t="n">
        <v>45989</v>
      </c>
      <c r="B8" s="1" t="s">
        <v>30</v>
      </c>
      <c r="C8" s="1" t="s">
        <v>42</v>
      </c>
      <c r="D8" s="3" t="n">
        <v>45982.512268518</v>
      </c>
      <c r="E8" s="1" t="s">
        <v>32</v>
      </c>
      <c r="F8" s="4" t="s">
        <v>39</v>
      </c>
      <c r="G8" s="1" t="s">
        <v>40</v>
      </c>
      <c r="H8" s="1" t="s">
        <v>41</v>
      </c>
      <c r="I8" s="4" t="n">
        <v>2</v>
      </c>
      <c r="J8" s="5" t="n">
        <v>2472</v>
      </c>
      <c r="K8" s="6" t="n">
        <v>0.41</v>
      </c>
      <c r="L8" s="5" t="n">
        <v>-1013.52</v>
      </c>
      <c r="M8" s="5" t="n">
        <v>0</v>
      </c>
      <c r="N8" s="5" t="n">
        <v>-30</v>
      </c>
      <c r="O8" s="5" t="n">
        <v>0</v>
      </c>
      <c r="P8" s="5" t="n">
        <v>-14.18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-196</v>
      </c>
      <c r="V8" s="4"/>
      <c r="W8" s="4"/>
      <c r="X8" s="5" t="n">
        <v>0</v>
      </c>
      <c r="Y8" s="5" t="n">
        <v>1218.3</v>
      </c>
      <c r="AD8" s="0" t="n">
        <v>2</v>
      </c>
      <c r="AE8" s="7" t="n">
        <f aca="false">AD8/$AD$10</f>
        <v>0.0909090909090909</v>
      </c>
      <c r="AF8" s="7" t="n">
        <f aca="false">AE8*$AD$11</f>
        <v>-0.454545454545455</v>
      </c>
      <c r="AG8" s="7" t="n">
        <f aca="false">AD8+AF8</f>
        <v>1.54545454545455</v>
      </c>
    </row>
    <row r="9" customFormat="false" ht="12.8" hidden="false" customHeight="false" outlineLevel="0" collapsed="false">
      <c r="A9" s="3" t="n">
        <v>45990</v>
      </c>
      <c r="B9" s="1" t="s">
        <v>43</v>
      </c>
      <c r="C9" s="1" t="s">
        <v>44</v>
      </c>
      <c r="D9" s="3" t="n">
        <v>45971.698252314</v>
      </c>
      <c r="E9" s="1" t="s">
        <v>32</v>
      </c>
      <c r="F9" s="4" t="s">
        <v>39</v>
      </c>
      <c r="G9" s="1" t="s">
        <v>40</v>
      </c>
      <c r="H9" s="1" t="s">
        <v>41</v>
      </c>
      <c r="I9" s="4" t="n">
        <v>1</v>
      </c>
      <c r="J9" s="5" t="n">
        <v>0</v>
      </c>
      <c r="K9" s="6" t="n">
        <v>0</v>
      </c>
      <c r="L9" s="5" t="n">
        <v>0</v>
      </c>
      <c r="M9" s="5" t="n">
        <v>0</v>
      </c>
      <c r="N9" s="5" t="n">
        <v>-30</v>
      </c>
      <c r="O9" s="5" t="n">
        <v>0</v>
      </c>
      <c r="P9" s="5" t="n">
        <v>-5.7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-98</v>
      </c>
      <c r="V9" s="4"/>
      <c r="W9" s="4"/>
      <c r="X9" s="5" t="n">
        <v>0</v>
      </c>
      <c r="Y9" s="5" t="n">
        <v>-133.7</v>
      </c>
      <c r="AD9" s="0" t="n">
        <v>10</v>
      </c>
      <c r="AE9" s="7" t="n">
        <f aca="false">AD9/$AD$10</f>
        <v>0.454545454545455</v>
      </c>
      <c r="AF9" s="7" t="n">
        <f aca="false">AE9*$AD$11</f>
        <v>-2.27272727272727</v>
      </c>
      <c r="AG9" s="7" t="n">
        <f aca="false">AD9+AF9</f>
        <v>7.72727272727273</v>
      </c>
    </row>
    <row r="10" customFormat="false" ht="12.8" hidden="false" customHeight="false" outlineLevel="0" collapsed="false">
      <c r="A10" s="3" t="n">
        <v>45990</v>
      </c>
      <c r="B10" s="1" t="s">
        <v>43</v>
      </c>
      <c r="C10" s="1" t="s">
        <v>44</v>
      </c>
      <c r="D10" s="3" t="n">
        <v>45971.698252314</v>
      </c>
      <c r="E10" s="1" t="s">
        <v>32</v>
      </c>
      <c r="F10" s="4" t="s">
        <v>39</v>
      </c>
      <c r="G10" s="1" t="s">
        <v>40</v>
      </c>
      <c r="H10" s="1" t="s">
        <v>41</v>
      </c>
      <c r="I10" s="4" t="n">
        <v>1</v>
      </c>
      <c r="J10" s="5" t="n">
        <v>0</v>
      </c>
      <c r="K10" s="6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4"/>
      <c r="W10" s="4"/>
      <c r="X10" s="5" t="n">
        <v>-56</v>
      </c>
      <c r="Y10" s="5" t="n">
        <v>-56</v>
      </c>
      <c r="AD10" s="7" t="n">
        <f aca="false">AD9+AD8+AD7+AD6+AD5+AD4+AD3</f>
        <v>22</v>
      </c>
      <c r="AE10" s="7" t="n">
        <f aca="false">AE9+AE8+AE7+AE6+AE5+AE4+AE3</f>
        <v>1</v>
      </c>
      <c r="AF10" s="7" t="n">
        <f aca="false">AF9+AF8+AF7+AF6+AF5+AF4+AF3</f>
        <v>-5</v>
      </c>
      <c r="AG10" s="7" t="n">
        <f aca="false">AG9+AG8+AG7+AG6+AG5+AG4+AG3</f>
        <v>17</v>
      </c>
    </row>
    <row r="11" customFormat="false" ht="12.8" hidden="false" customHeight="false" outlineLevel="0" collapsed="false">
      <c r="A11" s="3" t="n">
        <v>45988</v>
      </c>
      <c r="B11" s="1" t="s">
        <v>30</v>
      </c>
      <c r="C11" s="1" t="s">
        <v>45</v>
      </c>
      <c r="D11" s="3" t="n">
        <v>45981.447071759</v>
      </c>
      <c r="E11" s="1" t="s">
        <v>32</v>
      </c>
      <c r="F11" s="4" t="s">
        <v>46</v>
      </c>
      <c r="G11" s="1" t="s">
        <v>47</v>
      </c>
      <c r="H11" s="1" t="s">
        <v>48</v>
      </c>
      <c r="I11" s="4" t="n">
        <v>1</v>
      </c>
      <c r="J11" s="5" t="n">
        <v>1000</v>
      </c>
      <c r="K11" s="6" t="n">
        <v>0.41</v>
      </c>
      <c r="L11" s="5" t="n">
        <v>-410</v>
      </c>
      <c r="M11" s="5" t="n">
        <v>0</v>
      </c>
      <c r="N11" s="5" t="n">
        <v>-30</v>
      </c>
      <c r="O11" s="5" t="n">
        <v>0</v>
      </c>
      <c r="P11" s="5" t="n">
        <v>-5.32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-80</v>
      </c>
      <c r="V11" s="4"/>
      <c r="W11" s="4"/>
      <c r="X11" s="5" t="n">
        <v>0</v>
      </c>
      <c r="Y11" s="5" t="n">
        <v>474.68</v>
      </c>
      <c r="AD11" s="0" t="n">
        <v>-5</v>
      </c>
    </row>
    <row r="12" customFormat="false" ht="12.8" hidden="false" customHeight="false" outlineLevel="0" collapsed="false">
      <c r="A12" s="3" t="n">
        <v>45988</v>
      </c>
      <c r="B12" s="1" t="s">
        <v>25</v>
      </c>
      <c r="C12" s="1" t="s">
        <v>45</v>
      </c>
      <c r="D12" s="3" t="n">
        <v>45981.447071759</v>
      </c>
      <c r="F12" s="4" t="s">
        <v>46</v>
      </c>
      <c r="G12" s="1" t="s">
        <v>47</v>
      </c>
      <c r="H12" s="1" t="s">
        <v>48</v>
      </c>
      <c r="I12" s="4" t="n">
        <v>1</v>
      </c>
      <c r="J12" s="5" t="n">
        <v>0</v>
      </c>
      <c r="K12" s="6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4"/>
      <c r="W12" s="4"/>
      <c r="X12" s="5" t="n">
        <v>0</v>
      </c>
      <c r="Y12" s="5" t="n">
        <v>-12.94</v>
      </c>
    </row>
    <row r="13" customFormat="false" ht="12.8" hidden="false" customHeight="false" outlineLevel="0" collapsed="false">
      <c r="A13" s="3" t="n">
        <v>45985</v>
      </c>
      <c r="B13" s="1" t="s">
        <v>43</v>
      </c>
      <c r="C13" s="1" t="s">
        <v>49</v>
      </c>
      <c r="D13" s="3" t="n">
        <v>45974.839305555</v>
      </c>
      <c r="E13" s="1" t="s">
        <v>32</v>
      </c>
      <c r="F13" s="4" t="s">
        <v>50</v>
      </c>
      <c r="G13" s="1" t="s">
        <v>51</v>
      </c>
      <c r="H13" s="1" t="s">
        <v>52</v>
      </c>
      <c r="I13" s="4" t="n">
        <v>1</v>
      </c>
      <c r="J13" s="5" t="n">
        <v>0</v>
      </c>
      <c r="K13" s="6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4"/>
      <c r="W13" s="4"/>
      <c r="X13" s="5" t="n">
        <v>-46</v>
      </c>
      <c r="Y13" s="5" t="n">
        <v>-46</v>
      </c>
    </row>
    <row r="14" customFormat="false" ht="12.8" hidden="false" customHeight="false" outlineLevel="0" collapsed="false">
      <c r="A14" s="3" t="n">
        <v>45985</v>
      </c>
      <c r="B14" s="1" t="s">
        <v>43</v>
      </c>
      <c r="C14" s="1" t="s">
        <v>49</v>
      </c>
      <c r="D14" s="3" t="n">
        <v>45974.839305555</v>
      </c>
      <c r="E14" s="1" t="s">
        <v>32</v>
      </c>
      <c r="F14" s="4" t="s">
        <v>50</v>
      </c>
      <c r="G14" s="1" t="s">
        <v>51</v>
      </c>
      <c r="H14" s="1" t="s">
        <v>52</v>
      </c>
      <c r="I14" s="4" t="n">
        <v>1</v>
      </c>
      <c r="J14" s="5" t="n">
        <v>0</v>
      </c>
      <c r="K14" s="6" t="n">
        <v>0</v>
      </c>
      <c r="L14" s="5" t="n">
        <v>0</v>
      </c>
      <c r="M14" s="5" t="n">
        <v>0</v>
      </c>
      <c r="N14" s="5" t="n">
        <v>-30</v>
      </c>
      <c r="O14" s="5" t="n">
        <v>0</v>
      </c>
      <c r="P14" s="5" t="n">
        <v>-8.47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-80</v>
      </c>
      <c r="V14" s="4"/>
      <c r="W14" s="4"/>
      <c r="X14" s="5" t="n">
        <v>0</v>
      </c>
      <c r="Y14" s="5" t="n">
        <v>-118.47</v>
      </c>
    </row>
    <row r="15" customFormat="false" ht="12.8" hidden="false" customHeight="false" outlineLevel="0" collapsed="false">
      <c r="A15" s="3" t="n">
        <v>45985</v>
      </c>
      <c r="B15" s="1" t="s">
        <v>30</v>
      </c>
      <c r="C15" s="1" t="s">
        <v>53</v>
      </c>
      <c r="D15" s="3" t="n">
        <v>45975.687395833</v>
      </c>
      <c r="E15" s="1" t="s">
        <v>32</v>
      </c>
      <c r="F15" s="4" t="s">
        <v>50</v>
      </c>
      <c r="G15" s="1" t="s">
        <v>51</v>
      </c>
      <c r="H15" s="1" t="s">
        <v>52</v>
      </c>
      <c r="I15" s="4" t="n">
        <v>1</v>
      </c>
      <c r="J15" s="5" t="n">
        <v>1500</v>
      </c>
      <c r="K15" s="6" t="n">
        <v>0.41</v>
      </c>
      <c r="L15" s="5" t="n">
        <v>-615</v>
      </c>
      <c r="M15" s="5" t="n">
        <v>0</v>
      </c>
      <c r="N15" s="5" t="n">
        <v>-30</v>
      </c>
      <c r="O15" s="5" t="n">
        <v>0</v>
      </c>
      <c r="P15" s="5" t="n">
        <v>-7.08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-80</v>
      </c>
      <c r="V15" s="4"/>
      <c r="W15" s="4"/>
      <c r="X15" s="5" t="n">
        <v>0</v>
      </c>
      <c r="Y15" s="5" t="n">
        <v>767.92</v>
      </c>
    </row>
    <row r="16" customFormat="false" ht="12.8" hidden="false" customHeight="false" outlineLevel="0" collapsed="false">
      <c r="A16" s="3" t="n">
        <v>45985</v>
      </c>
      <c r="B16" s="1" t="s">
        <v>30</v>
      </c>
      <c r="C16" s="1" t="s">
        <v>54</v>
      </c>
      <c r="D16" s="3" t="n">
        <v>45982.649502314</v>
      </c>
      <c r="E16" s="1" t="s">
        <v>32</v>
      </c>
      <c r="F16" s="4" t="s">
        <v>50</v>
      </c>
      <c r="G16" s="1" t="s">
        <v>51</v>
      </c>
      <c r="H16" s="1" t="s">
        <v>52</v>
      </c>
      <c r="I16" s="4" t="n">
        <v>2</v>
      </c>
      <c r="J16" s="5" t="n">
        <v>3400</v>
      </c>
      <c r="K16" s="6" t="n">
        <v>0.41</v>
      </c>
      <c r="L16" s="5" t="n">
        <v>-1394</v>
      </c>
      <c r="M16" s="5" t="n">
        <v>0</v>
      </c>
      <c r="N16" s="5" t="n">
        <v>-30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-160</v>
      </c>
      <c r="V16" s="4"/>
      <c r="W16" s="4"/>
      <c r="X16" s="5" t="n">
        <v>0</v>
      </c>
      <c r="Y16" s="5" t="n">
        <v>1816</v>
      </c>
    </row>
    <row r="17" customFormat="false" ht="12.8" hidden="false" customHeight="false" outlineLevel="0" collapsed="false">
      <c r="A17" s="3" t="n">
        <v>45986</v>
      </c>
      <c r="B17" s="1" t="s">
        <v>30</v>
      </c>
      <c r="C17" s="1" t="s">
        <v>55</v>
      </c>
      <c r="D17" s="3" t="n">
        <v>45975.646331018</v>
      </c>
      <c r="E17" s="1" t="s">
        <v>32</v>
      </c>
      <c r="F17" s="4" t="s">
        <v>50</v>
      </c>
      <c r="G17" s="1" t="s">
        <v>51</v>
      </c>
      <c r="H17" s="1" t="s">
        <v>52</v>
      </c>
      <c r="I17" s="4" t="n">
        <v>1</v>
      </c>
      <c r="J17" s="5" t="n">
        <v>1500</v>
      </c>
      <c r="K17" s="6" t="n">
        <v>0.41</v>
      </c>
      <c r="L17" s="5" t="n">
        <v>-615</v>
      </c>
      <c r="M17" s="5" t="n">
        <v>0</v>
      </c>
      <c r="N17" s="5" t="n">
        <v>-30</v>
      </c>
      <c r="O17" s="5" t="n">
        <v>0</v>
      </c>
      <c r="P17" s="5" t="n">
        <v>-6.16</v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-80</v>
      </c>
      <c r="V17" s="4"/>
      <c r="W17" s="4"/>
      <c r="X17" s="5" t="n">
        <v>0</v>
      </c>
      <c r="Y17" s="5" t="n">
        <v>768.84</v>
      </c>
    </row>
    <row r="18" customFormat="false" ht="12.8" hidden="false" customHeight="false" outlineLevel="0" collapsed="false">
      <c r="A18" s="3" t="n">
        <v>45986</v>
      </c>
      <c r="B18" s="1" t="s">
        <v>25</v>
      </c>
      <c r="C18" s="1" t="s">
        <v>55</v>
      </c>
      <c r="D18" s="3" t="n">
        <v>45975.646331018</v>
      </c>
      <c r="F18" s="4" t="s">
        <v>50</v>
      </c>
      <c r="G18" s="1" t="s">
        <v>51</v>
      </c>
      <c r="H18" s="1" t="s">
        <v>52</v>
      </c>
      <c r="I18" s="4" t="n">
        <v>1</v>
      </c>
      <c r="J18" s="5" t="n">
        <v>0</v>
      </c>
      <c r="K18" s="6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4"/>
      <c r="W18" s="4"/>
      <c r="X18" s="5" t="n">
        <v>0</v>
      </c>
      <c r="Y18" s="5" t="n">
        <v>-6.43</v>
      </c>
    </row>
    <row r="19" customFormat="false" ht="12.8" hidden="false" customHeight="false" outlineLevel="0" collapsed="false">
      <c r="A19" s="3" t="n">
        <v>45986</v>
      </c>
      <c r="B19" s="1" t="s">
        <v>25</v>
      </c>
      <c r="C19" s="1" t="s">
        <v>56</v>
      </c>
      <c r="D19" s="3" t="n">
        <v>45986.658310185</v>
      </c>
      <c r="F19" s="4" t="s">
        <v>50</v>
      </c>
      <c r="G19" s="1" t="s">
        <v>51</v>
      </c>
      <c r="H19" s="1" t="s">
        <v>52</v>
      </c>
      <c r="I19" s="4" t="n">
        <v>1</v>
      </c>
      <c r="J19" s="5" t="n">
        <v>0</v>
      </c>
      <c r="K19" s="6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4"/>
      <c r="W19" s="4"/>
      <c r="X19" s="5" t="n">
        <v>0</v>
      </c>
      <c r="Y19" s="5" t="n">
        <v>-21.86</v>
      </c>
    </row>
    <row r="20" customFormat="false" ht="12.8" hidden="false" customHeight="false" outlineLevel="0" collapsed="false">
      <c r="A20" s="3" t="n">
        <v>45986</v>
      </c>
      <c r="B20" s="1" t="s">
        <v>30</v>
      </c>
      <c r="C20" s="1" t="s">
        <v>57</v>
      </c>
      <c r="D20" s="3" t="n">
        <v>45981.956469907</v>
      </c>
      <c r="E20" s="1" t="s">
        <v>32</v>
      </c>
      <c r="F20" s="4" t="s">
        <v>50</v>
      </c>
      <c r="G20" s="1" t="s">
        <v>51</v>
      </c>
      <c r="H20" s="1" t="s">
        <v>52</v>
      </c>
      <c r="I20" s="4" t="n">
        <v>1</v>
      </c>
      <c r="J20" s="5" t="n">
        <v>1700</v>
      </c>
      <c r="K20" s="6" t="n">
        <v>0.44</v>
      </c>
      <c r="L20" s="5" t="n">
        <v>-748</v>
      </c>
      <c r="M20" s="5" t="n">
        <v>0</v>
      </c>
      <c r="N20" s="5" t="n">
        <v>-30</v>
      </c>
      <c r="O20" s="5" t="n">
        <v>0</v>
      </c>
      <c r="P20" s="5" t="n">
        <v>-8.98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-80</v>
      </c>
      <c r="V20" s="4"/>
      <c r="W20" s="4"/>
      <c r="X20" s="5" t="n">
        <v>0</v>
      </c>
      <c r="Y20" s="5" t="n">
        <v>833.02</v>
      </c>
    </row>
    <row r="21" customFormat="false" ht="12.8" hidden="false" customHeight="false" outlineLevel="0" collapsed="false">
      <c r="A21" s="3" t="n">
        <v>45986</v>
      </c>
      <c r="B21" s="1" t="s">
        <v>25</v>
      </c>
      <c r="C21" s="1" t="s">
        <v>57</v>
      </c>
      <c r="D21" s="3" t="n">
        <v>45981.956469907</v>
      </c>
      <c r="F21" s="4" t="s">
        <v>50</v>
      </c>
      <c r="G21" s="1" t="s">
        <v>51</v>
      </c>
      <c r="H21" s="1" t="s">
        <v>52</v>
      </c>
      <c r="I21" s="4" t="n">
        <v>1</v>
      </c>
      <c r="J21" s="5" t="n">
        <v>0</v>
      </c>
      <c r="K21" s="6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0</v>
      </c>
      <c r="U21" s="5" t="n">
        <v>0</v>
      </c>
      <c r="V21" s="4"/>
      <c r="W21" s="4"/>
      <c r="X21" s="5" t="n">
        <v>0</v>
      </c>
      <c r="Y21" s="5" t="n">
        <v>-6.36</v>
      </c>
    </row>
    <row r="22" customFormat="false" ht="12.8" hidden="false" customHeight="false" outlineLevel="0" collapsed="false">
      <c r="A22" s="3" t="n">
        <v>45986</v>
      </c>
      <c r="B22" s="1" t="s">
        <v>25</v>
      </c>
      <c r="C22" s="1" t="s">
        <v>58</v>
      </c>
      <c r="D22" s="3" t="n">
        <v>45986.819247685</v>
      </c>
      <c r="F22" s="4" t="s">
        <v>50</v>
      </c>
      <c r="G22" s="1" t="s">
        <v>51</v>
      </c>
      <c r="H22" s="1" t="s">
        <v>52</v>
      </c>
      <c r="I22" s="4" t="n">
        <v>1</v>
      </c>
      <c r="J22" s="5" t="n">
        <v>0</v>
      </c>
      <c r="K22" s="6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4"/>
      <c r="W22" s="4"/>
      <c r="X22" s="5" t="n">
        <v>0</v>
      </c>
      <c r="Y22" s="5" t="n">
        <v>-6.31</v>
      </c>
    </row>
    <row r="23" customFormat="false" ht="12.8" hidden="false" customHeight="false" outlineLevel="0" collapsed="false">
      <c r="A23" s="3" t="n">
        <v>45988</v>
      </c>
      <c r="B23" s="1" t="s">
        <v>30</v>
      </c>
      <c r="C23" s="1" t="s">
        <v>59</v>
      </c>
      <c r="D23" s="3" t="n">
        <v>45983.820266203</v>
      </c>
      <c r="E23" s="1" t="s">
        <v>32</v>
      </c>
      <c r="F23" s="4" t="s">
        <v>50</v>
      </c>
      <c r="G23" s="1" t="s">
        <v>51</v>
      </c>
      <c r="H23" s="1" t="s">
        <v>52</v>
      </c>
      <c r="I23" s="4" t="n">
        <v>1</v>
      </c>
      <c r="J23" s="5" t="n">
        <v>1700</v>
      </c>
      <c r="K23" s="6" t="n">
        <v>0.44</v>
      </c>
      <c r="L23" s="5" t="n">
        <v>-748</v>
      </c>
      <c r="M23" s="5" t="n">
        <v>0</v>
      </c>
      <c r="N23" s="5" t="n">
        <v>-30</v>
      </c>
      <c r="O23" s="5" t="n">
        <v>0</v>
      </c>
      <c r="P23" s="5" t="n">
        <v>-8.61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-80</v>
      </c>
      <c r="V23" s="4"/>
      <c r="W23" s="4"/>
      <c r="X23" s="5" t="n">
        <v>0</v>
      </c>
      <c r="Y23" s="5" t="n">
        <v>833.39</v>
      </c>
    </row>
    <row r="24" customFormat="false" ht="12.8" hidden="false" customHeight="false" outlineLevel="0" collapsed="false">
      <c r="A24" s="3" t="n">
        <v>45989</v>
      </c>
      <c r="B24" s="1" t="s">
        <v>25</v>
      </c>
      <c r="C24" s="1" t="s">
        <v>60</v>
      </c>
      <c r="D24" s="3" t="n">
        <v>45989.725509259</v>
      </c>
      <c r="F24" s="4" t="s">
        <v>50</v>
      </c>
      <c r="G24" s="1" t="s">
        <v>51</v>
      </c>
      <c r="H24" s="1" t="s">
        <v>52</v>
      </c>
      <c r="I24" s="4" t="n">
        <v>1</v>
      </c>
      <c r="J24" s="5" t="n">
        <v>0</v>
      </c>
      <c r="K24" s="6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4"/>
      <c r="W24" s="4"/>
      <c r="X24" s="5" t="n">
        <v>0</v>
      </c>
      <c r="Y24" s="5" t="n">
        <v>-7.17</v>
      </c>
    </row>
    <row r="25" customFormat="false" ht="12.8" hidden="false" customHeight="false" outlineLevel="0" collapsed="false">
      <c r="A25" s="3" t="n">
        <v>45990</v>
      </c>
      <c r="B25" s="1" t="s">
        <v>30</v>
      </c>
      <c r="C25" s="1" t="s">
        <v>61</v>
      </c>
      <c r="D25" s="3" t="n">
        <v>45987.562453703</v>
      </c>
      <c r="E25" s="1" t="s">
        <v>32</v>
      </c>
      <c r="F25" s="4" t="s">
        <v>50</v>
      </c>
      <c r="G25" s="1" t="s">
        <v>51</v>
      </c>
      <c r="H25" s="1" t="s">
        <v>52</v>
      </c>
      <c r="I25" s="4" t="n">
        <v>1</v>
      </c>
      <c r="J25" s="5" t="n">
        <v>1700</v>
      </c>
      <c r="K25" s="6" t="n">
        <v>0.41</v>
      </c>
      <c r="L25" s="5" t="n">
        <v>-697</v>
      </c>
      <c r="M25" s="5" t="n">
        <v>0</v>
      </c>
      <c r="N25" s="5" t="n">
        <v>-30</v>
      </c>
      <c r="O25" s="5" t="n">
        <v>0</v>
      </c>
      <c r="P25" s="5" t="n">
        <v>-8.09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-80</v>
      </c>
      <c r="V25" s="4"/>
      <c r="W25" s="4"/>
      <c r="X25" s="5" t="n">
        <v>0</v>
      </c>
      <c r="Y25" s="5" t="n">
        <v>884.91</v>
      </c>
    </row>
    <row r="26" customFormat="false" ht="12.8" hidden="false" customHeight="false" outlineLevel="0" collapsed="false">
      <c r="A26" s="3" t="n">
        <v>45990</v>
      </c>
      <c r="B26" s="1" t="s">
        <v>25</v>
      </c>
      <c r="C26" s="1" t="s">
        <v>61</v>
      </c>
      <c r="D26" s="3" t="n">
        <v>45987.562453703</v>
      </c>
      <c r="F26" s="4" t="s">
        <v>50</v>
      </c>
      <c r="G26" s="1" t="s">
        <v>51</v>
      </c>
      <c r="H26" s="1" t="s">
        <v>52</v>
      </c>
      <c r="I26" s="4" t="n">
        <v>1</v>
      </c>
      <c r="J26" s="5" t="n">
        <v>0</v>
      </c>
      <c r="K26" s="6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4"/>
      <c r="W26" s="4"/>
      <c r="X26" s="5" t="n">
        <v>0</v>
      </c>
      <c r="Y26" s="5" t="n">
        <v>-20.48</v>
      </c>
    </row>
    <row r="27" customFormat="false" ht="12.8" hidden="false" customHeight="false" outlineLevel="0" collapsed="false">
      <c r="A27" s="3" t="n">
        <v>45985</v>
      </c>
      <c r="B27" s="1" t="s">
        <v>30</v>
      </c>
      <c r="C27" s="1" t="s">
        <v>62</v>
      </c>
      <c r="D27" s="3" t="n">
        <v>45979.3659375</v>
      </c>
      <c r="E27" s="1" t="s">
        <v>32</v>
      </c>
      <c r="F27" s="4" t="s">
        <v>63</v>
      </c>
      <c r="G27" s="1" t="s">
        <v>64</v>
      </c>
      <c r="H27" s="1" t="s">
        <v>65</v>
      </c>
      <c r="I27" s="4" t="n">
        <v>1</v>
      </c>
      <c r="J27" s="5" t="n">
        <v>600</v>
      </c>
      <c r="K27" s="6" t="n">
        <v>0.41</v>
      </c>
      <c r="L27" s="5" t="n">
        <v>-246</v>
      </c>
      <c r="M27" s="5" t="n">
        <v>0</v>
      </c>
      <c r="N27" s="5" t="n">
        <v>-30</v>
      </c>
      <c r="O27" s="5" t="n">
        <v>0</v>
      </c>
      <c r="P27" s="5" t="n">
        <v>-3.2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-80</v>
      </c>
      <c r="V27" s="4"/>
      <c r="W27" s="4"/>
      <c r="X27" s="5" t="n">
        <v>0</v>
      </c>
      <c r="Y27" s="5" t="n">
        <v>240.8</v>
      </c>
    </row>
    <row r="28" customFormat="false" ht="12.8" hidden="false" customHeight="false" outlineLevel="0" collapsed="false">
      <c r="A28" s="3" t="n">
        <v>45989</v>
      </c>
      <c r="B28" s="1" t="s">
        <v>30</v>
      </c>
      <c r="C28" s="1" t="s">
        <v>66</v>
      </c>
      <c r="D28" s="3" t="n">
        <v>45980.964456018</v>
      </c>
      <c r="E28" s="1" t="s">
        <v>32</v>
      </c>
      <c r="F28" s="4" t="s">
        <v>63</v>
      </c>
      <c r="G28" s="1" t="s">
        <v>64</v>
      </c>
      <c r="H28" s="1" t="s">
        <v>65</v>
      </c>
      <c r="I28" s="4" t="n">
        <v>3</v>
      </c>
      <c r="J28" s="5" t="n">
        <v>1800</v>
      </c>
      <c r="K28" s="6" t="n">
        <v>0.41</v>
      </c>
      <c r="L28" s="5" t="n">
        <v>-738</v>
      </c>
      <c r="M28" s="5" t="n">
        <v>0</v>
      </c>
      <c r="N28" s="5" t="n">
        <v>-30</v>
      </c>
      <c r="O28" s="5" t="n">
        <v>0</v>
      </c>
      <c r="P28" s="5" t="n">
        <v>-8.25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-240</v>
      </c>
      <c r="V28" s="4"/>
      <c r="W28" s="4"/>
      <c r="X28" s="5" t="n">
        <v>0</v>
      </c>
      <c r="Y28" s="5" t="n">
        <v>783.75</v>
      </c>
    </row>
    <row r="29" customFormat="false" ht="12.8" hidden="false" customHeight="false" outlineLevel="0" collapsed="false">
      <c r="A29" s="3" t="n">
        <v>45991</v>
      </c>
      <c r="B29" s="1" t="s">
        <v>30</v>
      </c>
      <c r="C29" s="1" t="s">
        <v>67</v>
      </c>
      <c r="D29" s="3" t="n">
        <v>45979.627951388</v>
      </c>
      <c r="E29" s="1" t="s">
        <v>32</v>
      </c>
      <c r="F29" s="4" t="s">
        <v>63</v>
      </c>
      <c r="G29" s="1" t="s">
        <v>64</v>
      </c>
      <c r="H29" s="1" t="s">
        <v>65</v>
      </c>
      <c r="I29" s="4" t="n">
        <v>2</v>
      </c>
      <c r="J29" s="5" t="n">
        <v>1200</v>
      </c>
      <c r="K29" s="6" t="n">
        <v>0.41</v>
      </c>
      <c r="L29" s="5" t="n">
        <v>-492</v>
      </c>
      <c r="M29" s="5" t="n">
        <v>0</v>
      </c>
      <c r="N29" s="5" t="n">
        <v>-30</v>
      </c>
      <c r="O29" s="5" t="n">
        <v>0</v>
      </c>
      <c r="P29" s="5" t="n">
        <v>-50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-160</v>
      </c>
      <c r="V29" s="4"/>
      <c r="W29" s="4"/>
      <c r="X29" s="5" t="n">
        <v>0</v>
      </c>
      <c r="Y29" s="5" t="n">
        <v>468</v>
      </c>
    </row>
    <row r="30" customFormat="false" ht="12.8" hidden="false" customHeight="false" outlineLevel="0" collapsed="false">
      <c r="A30" s="3" t="n">
        <v>45991</v>
      </c>
      <c r="B30" s="1" t="s">
        <v>30</v>
      </c>
      <c r="C30" s="1" t="s">
        <v>68</v>
      </c>
      <c r="D30" s="3" t="n">
        <v>45982.844652777</v>
      </c>
      <c r="E30" s="1" t="s">
        <v>32</v>
      </c>
      <c r="F30" s="4" t="s">
        <v>63</v>
      </c>
      <c r="G30" s="1" t="s">
        <v>64</v>
      </c>
      <c r="H30" s="1" t="s">
        <v>65</v>
      </c>
      <c r="I30" s="4" t="n">
        <v>1</v>
      </c>
      <c r="J30" s="5" t="n">
        <v>600</v>
      </c>
      <c r="K30" s="6" t="n">
        <v>0.44</v>
      </c>
      <c r="L30" s="5" t="n">
        <v>-264</v>
      </c>
      <c r="M30" s="5" t="n">
        <v>0</v>
      </c>
      <c r="N30" s="5" t="n">
        <v>-30</v>
      </c>
      <c r="O30" s="5" t="n">
        <v>0</v>
      </c>
      <c r="P30" s="5" t="n">
        <v>-3.19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-80</v>
      </c>
      <c r="V30" s="4"/>
      <c r="W30" s="4"/>
      <c r="X30" s="5" t="n">
        <v>0</v>
      </c>
      <c r="Y30" s="5" t="n">
        <v>222.81</v>
      </c>
    </row>
    <row r="31" customFormat="false" ht="12.8" hidden="false" customHeight="false" outlineLevel="0" collapsed="false">
      <c r="A31" s="3" t="n">
        <v>45991</v>
      </c>
      <c r="B31" s="1" t="s">
        <v>25</v>
      </c>
      <c r="C31" s="1" t="s">
        <v>68</v>
      </c>
      <c r="D31" s="3" t="n">
        <v>45982.844652777</v>
      </c>
      <c r="F31" s="4" t="s">
        <v>63</v>
      </c>
      <c r="G31" s="1" t="s">
        <v>64</v>
      </c>
      <c r="H31" s="1" t="s">
        <v>65</v>
      </c>
      <c r="I31" s="4" t="n">
        <v>1</v>
      </c>
      <c r="J31" s="5" t="n">
        <v>0</v>
      </c>
      <c r="K31" s="6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4"/>
      <c r="W31" s="4"/>
      <c r="X31" s="5" t="n">
        <v>0</v>
      </c>
      <c r="Y31" s="5" t="n">
        <v>-6.32</v>
      </c>
    </row>
    <row r="32" customFormat="false" ht="12.8" hidden="false" customHeight="false" outlineLevel="0" collapsed="false">
      <c r="A32" s="3" t="n">
        <v>45991</v>
      </c>
      <c r="B32" s="1" t="s">
        <v>30</v>
      </c>
      <c r="C32" s="1" t="s">
        <v>69</v>
      </c>
      <c r="D32" s="3" t="n">
        <v>45981.976770833</v>
      </c>
      <c r="E32" s="1" t="s">
        <v>32</v>
      </c>
      <c r="F32" s="4" t="s">
        <v>63</v>
      </c>
      <c r="G32" s="1" t="s">
        <v>64</v>
      </c>
      <c r="H32" s="1" t="s">
        <v>65</v>
      </c>
      <c r="I32" s="4" t="n">
        <v>1</v>
      </c>
      <c r="J32" s="5" t="n">
        <v>600</v>
      </c>
      <c r="K32" s="6" t="n">
        <v>0.44</v>
      </c>
      <c r="L32" s="5" t="n">
        <v>-264</v>
      </c>
      <c r="M32" s="5" t="n">
        <v>0</v>
      </c>
      <c r="N32" s="5" t="n">
        <v>-30</v>
      </c>
      <c r="O32" s="5" t="n">
        <v>0</v>
      </c>
      <c r="P32" s="5" t="n">
        <v>-3.11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-80</v>
      </c>
      <c r="V32" s="4"/>
      <c r="W32" s="4"/>
      <c r="X32" s="5" t="n">
        <v>0</v>
      </c>
      <c r="Y32" s="5" t="n">
        <v>222.89</v>
      </c>
    </row>
    <row r="33" customFormat="false" ht="12.8" hidden="false" customHeight="false" outlineLevel="0" collapsed="false">
      <c r="A33" s="3" t="n">
        <v>45991</v>
      </c>
      <c r="B33" s="1" t="s">
        <v>25</v>
      </c>
      <c r="C33" s="1" t="s">
        <v>69</v>
      </c>
      <c r="D33" s="3" t="n">
        <v>45981.976770833</v>
      </c>
      <c r="F33" s="4" t="s">
        <v>63</v>
      </c>
      <c r="G33" s="1" t="s">
        <v>64</v>
      </c>
      <c r="H33" s="1" t="s">
        <v>65</v>
      </c>
      <c r="I33" s="4" t="n">
        <v>1</v>
      </c>
      <c r="J33" s="5" t="n">
        <v>0</v>
      </c>
      <c r="K33" s="6" t="n">
        <v>0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5" t="n">
        <v>0</v>
      </c>
      <c r="T33" s="5" t="n">
        <v>0</v>
      </c>
      <c r="U33" s="5" t="n">
        <v>0</v>
      </c>
      <c r="V33" s="4"/>
      <c r="W33" s="4"/>
      <c r="X33" s="5" t="n">
        <v>0</v>
      </c>
      <c r="Y33" s="5" t="n">
        <v>-6.87</v>
      </c>
    </row>
    <row r="34" customFormat="false" ht="12.8" hidden="false" customHeight="false" outlineLevel="0" collapsed="false">
      <c r="A34" s="3" t="n">
        <v>45986</v>
      </c>
      <c r="B34" s="1" t="s">
        <v>30</v>
      </c>
      <c r="C34" s="1" t="s">
        <v>70</v>
      </c>
      <c r="D34" s="3" t="n">
        <v>45980.637951388</v>
      </c>
      <c r="E34" s="1" t="s">
        <v>32</v>
      </c>
      <c r="F34" s="4" t="s">
        <v>71</v>
      </c>
      <c r="G34" s="1" t="s">
        <v>72</v>
      </c>
      <c r="H34" s="1" t="s">
        <v>73</v>
      </c>
      <c r="I34" s="4" t="n">
        <v>1</v>
      </c>
      <c r="J34" s="5" t="n">
        <v>633</v>
      </c>
      <c r="K34" s="6" t="n">
        <v>0.41</v>
      </c>
      <c r="L34" s="5" t="n">
        <v>-259.53</v>
      </c>
      <c r="M34" s="5" t="n">
        <v>0</v>
      </c>
      <c r="N34" s="5" t="n">
        <v>-30</v>
      </c>
      <c r="O34" s="5" t="n">
        <v>0</v>
      </c>
      <c r="P34" s="5" t="n">
        <v>-4.16</v>
      </c>
      <c r="Q34" s="5" t="n">
        <v>0</v>
      </c>
      <c r="R34" s="5" t="n">
        <v>0</v>
      </c>
      <c r="S34" s="5" t="n">
        <v>0</v>
      </c>
      <c r="T34" s="5" t="n">
        <v>0</v>
      </c>
      <c r="U34" s="5" t="n">
        <v>-80</v>
      </c>
      <c r="V34" s="4"/>
      <c r="W34" s="4"/>
      <c r="X34" s="5" t="n">
        <v>0</v>
      </c>
      <c r="Y34" s="5" t="n">
        <v>259.31</v>
      </c>
    </row>
    <row r="35" customFormat="false" ht="12.8" hidden="false" customHeight="false" outlineLevel="0" collapsed="false">
      <c r="A35" s="3" t="n">
        <v>45986</v>
      </c>
      <c r="B35" s="1" t="s">
        <v>30</v>
      </c>
      <c r="C35" s="1" t="s">
        <v>74</v>
      </c>
      <c r="D35" s="3" t="n">
        <v>45980.600011574</v>
      </c>
      <c r="E35" s="1" t="s">
        <v>32</v>
      </c>
      <c r="F35" s="4" t="s">
        <v>71</v>
      </c>
      <c r="G35" s="1" t="s">
        <v>72</v>
      </c>
      <c r="H35" s="1" t="s">
        <v>73</v>
      </c>
      <c r="I35" s="4" t="n">
        <v>1</v>
      </c>
      <c r="J35" s="5" t="n">
        <v>633</v>
      </c>
      <c r="K35" s="6" t="n">
        <v>0.41</v>
      </c>
      <c r="L35" s="5" t="n">
        <v>-259.53</v>
      </c>
      <c r="M35" s="5" t="n">
        <v>0</v>
      </c>
      <c r="N35" s="5" t="n">
        <v>-30</v>
      </c>
      <c r="O35" s="5" t="n">
        <v>0</v>
      </c>
      <c r="P35" s="5" t="n">
        <v>-4.16</v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-80</v>
      </c>
      <c r="V35" s="4"/>
      <c r="W35" s="4"/>
      <c r="X35" s="5" t="n">
        <v>0</v>
      </c>
      <c r="Y35" s="5" t="n">
        <v>259.31</v>
      </c>
    </row>
    <row r="36" customFormat="false" ht="12.8" hidden="false" customHeight="false" outlineLevel="0" collapsed="false">
      <c r="A36" s="3" t="n">
        <v>45987</v>
      </c>
      <c r="B36" s="1" t="s">
        <v>25</v>
      </c>
      <c r="C36" s="1" t="s">
        <v>75</v>
      </c>
      <c r="D36" s="3" t="n">
        <v>45987.888113425</v>
      </c>
      <c r="F36" s="4" t="s">
        <v>71</v>
      </c>
      <c r="G36" s="1" t="s">
        <v>72</v>
      </c>
      <c r="H36" s="1" t="s">
        <v>73</v>
      </c>
      <c r="I36" s="4" t="n">
        <v>1</v>
      </c>
      <c r="J36" s="5" t="n">
        <v>0</v>
      </c>
      <c r="K36" s="6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5" t="n">
        <v>0</v>
      </c>
      <c r="T36" s="5" t="n">
        <v>0</v>
      </c>
      <c r="U36" s="5" t="n">
        <v>0</v>
      </c>
      <c r="V36" s="4"/>
      <c r="W36" s="4"/>
      <c r="X36" s="5" t="n">
        <v>0</v>
      </c>
      <c r="Y36" s="5" t="n">
        <v>-9.88</v>
      </c>
    </row>
    <row r="37" customFormat="false" ht="12.8" hidden="false" customHeight="false" outlineLevel="0" collapsed="false">
      <c r="A37" s="3" t="n">
        <v>45989</v>
      </c>
      <c r="B37" s="1" t="s">
        <v>30</v>
      </c>
      <c r="C37" s="1" t="s">
        <v>76</v>
      </c>
      <c r="D37" s="3" t="n">
        <v>45987.888113425</v>
      </c>
      <c r="E37" s="1" t="s">
        <v>32</v>
      </c>
      <c r="F37" s="4" t="s">
        <v>71</v>
      </c>
      <c r="G37" s="1" t="s">
        <v>72</v>
      </c>
      <c r="H37" s="1" t="s">
        <v>73</v>
      </c>
      <c r="I37" s="4" t="n">
        <v>1</v>
      </c>
      <c r="J37" s="5" t="n">
        <v>900</v>
      </c>
      <c r="K37" s="6" t="n">
        <v>0.44</v>
      </c>
      <c r="L37" s="5" t="n">
        <v>-396</v>
      </c>
      <c r="M37" s="5" t="n">
        <v>0</v>
      </c>
      <c r="N37" s="5" t="n">
        <v>-30</v>
      </c>
      <c r="O37" s="5" t="n">
        <v>0</v>
      </c>
      <c r="P37" s="5" t="n">
        <v>-4.73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-80</v>
      </c>
      <c r="V37" s="4"/>
      <c r="W37" s="4"/>
      <c r="X37" s="5" t="n">
        <v>0</v>
      </c>
      <c r="Y37" s="5" t="n">
        <v>389.27</v>
      </c>
    </row>
    <row r="38" customFormat="false" ht="12.8" hidden="false" customHeight="false" outlineLevel="0" collapsed="false">
      <c r="A38" s="3" t="n">
        <v>45986</v>
      </c>
      <c r="B38" s="1" t="s">
        <v>30</v>
      </c>
      <c r="C38" s="1" t="s">
        <v>77</v>
      </c>
      <c r="D38" s="3" t="n">
        <v>45981.54949074</v>
      </c>
      <c r="E38" s="1" t="s">
        <v>32</v>
      </c>
      <c r="F38" s="4" t="s">
        <v>78</v>
      </c>
      <c r="G38" s="1" t="s">
        <v>79</v>
      </c>
      <c r="H38" s="1" t="s">
        <v>80</v>
      </c>
      <c r="I38" s="4" t="n">
        <v>1</v>
      </c>
      <c r="J38" s="5" t="n">
        <v>990</v>
      </c>
      <c r="K38" s="6" t="n">
        <v>0.41</v>
      </c>
      <c r="L38" s="5" t="n">
        <v>-405.9</v>
      </c>
      <c r="M38" s="5" t="n">
        <v>0</v>
      </c>
      <c r="N38" s="5" t="n">
        <v>-30</v>
      </c>
      <c r="O38" s="5" t="n">
        <v>0</v>
      </c>
      <c r="P38" s="5" t="n">
        <v>-3.67</v>
      </c>
      <c r="Q38" s="5" t="n">
        <v>0</v>
      </c>
      <c r="R38" s="5" t="n">
        <v>0</v>
      </c>
      <c r="S38" s="5" t="n">
        <v>0</v>
      </c>
      <c r="T38" s="5" t="n">
        <v>0</v>
      </c>
      <c r="U38" s="5" t="n">
        <v>-80</v>
      </c>
      <c r="V38" s="4"/>
      <c r="W38" s="4"/>
      <c r="X38" s="5" t="n">
        <v>0</v>
      </c>
      <c r="Y38" s="5" t="n">
        <v>470.43</v>
      </c>
    </row>
    <row r="39" customFormat="false" ht="12.8" hidden="false" customHeight="false" outlineLevel="0" collapsed="false">
      <c r="A39" s="3" t="n">
        <v>45986</v>
      </c>
      <c r="B39" s="1" t="s">
        <v>25</v>
      </c>
      <c r="C39" s="1" t="s">
        <v>77</v>
      </c>
      <c r="D39" s="3" t="n">
        <v>45981.54949074</v>
      </c>
      <c r="F39" s="4" t="s">
        <v>78</v>
      </c>
      <c r="G39" s="1" t="s">
        <v>79</v>
      </c>
      <c r="H39" s="1" t="s">
        <v>80</v>
      </c>
      <c r="I39" s="4" t="n">
        <v>1</v>
      </c>
      <c r="J39" s="5" t="n">
        <v>0</v>
      </c>
      <c r="K39" s="6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4"/>
      <c r="W39" s="4"/>
      <c r="X39" s="5" t="n">
        <v>0</v>
      </c>
      <c r="Y39" s="5" t="n">
        <v>-2.58</v>
      </c>
    </row>
    <row r="40" customFormat="false" ht="12.8" hidden="false" customHeight="false" outlineLevel="0" collapsed="false">
      <c r="A40" s="3" t="n">
        <v>45988</v>
      </c>
      <c r="B40" s="1" t="s">
        <v>30</v>
      </c>
      <c r="C40" s="1" t="s">
        <v>81</v>
      </c>
      <c r="D40" s="3" t="n">
        <v>45984.876689814</v>
      </c>
      <c r="E40" s="1" t="s">
        <v>32</v>
      </c>
      <c r="F40" s="4" t="s">
        <v>78</v>
      </c>
      <c r="G40" s="1" t="s">
        <v>79</v>
      </c>
      <c r="H40" s="1" t="s">
        <v>80</v>
      </c>
      <c r="I40" s="4" t="n">
        <v>1</v>
      </c>
      <c r="J40" s="5" t="n">
        <v>990</v>
      </c>
      <c r="K40" s="6" t="n">
        <v>0.44</v>
      </c>
      <c r="L40" s="5" t="n">
        <v>-435.6</v>
      </c>
      <c r="M40" s="5" t="n">
        <v>0</v>
      </c>
      <c r="N40" s="5" t="n">
        <v>-30</v>
      </c>
      <c r="O40" s="5" t="n">
        <v>0</v>
      </c>
      <c r="P40" s="5" t="n">
        <v>-5.07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-80</v>
      </c>
      <c r="V40" s="4"/>
      <c r="W40" s="4"/>
      <c r="X40" s="5" t="n">
        <v>0</v>
      </c>
      <c r="Y40" s="5" t="n">
        <v>439.33</v>
      </c>
    </row>
    <row r="41" customFormat="false" ht="12.8" hidden="false" customHeight="false" outlineLevel="0" collapsed="false">
      <c r="A41" s="3" t="n">
        <v>45988</v>
      </c>
      <c r="B41" s="1" t="s">
        <v>25</v>
      </c>
      <c r="C41" s="1" t="s">
        <v>81</v>
      </c>
      <c r="D41" s="3" t="n">
        <v>45984.876689814</v>
      </c>
      <c r="F41" s="4" t="s">
        <v>78</v>
      </c>
      <c r="G41" s="1" t="s">
        <v>79</v>
      </c>
      <c r="H41" s="1" t="s">
        <v>80</v>
      </c>
      <c r="I41" s="4" t="n">
        <v>1</v>
      </c>
      <c r="J41" s="5" t="n">
        <v>0</v>
      </c>
      <c r="K41" s="6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0</v>
      </c>
      <c r="V41" s="4"/>
      <c r="W41" s="4"/>
      <c r="X41" s="5" t="n">
        <v>0</v>
      </c>
      <c r="Y41" s="5" t="n">
        <v>-2.54</v>
      </c>
    </row>
    <row r="42" customFormat="false" ht="12.8" hidden="false" customHeight="false" outlineLevel="0" collapsed="false">
      <c r="A42" s="3" t="n">
        <v>45989</v>
      </c>
      <c r="B42" s="1" t="s">
        <v>25</v>
      </c>
      <c r="C42" s="1" t="s">
        <v>82</v>
      </c>
      <c r="D42" s="3" t="n">
        <v>45989.843356481</v>
      </c>
      <c r="F42" s="4" t="s">
        <v>78</v>
      </c>
      <c r="G42" s="1" t="s">
        <v>79</v>
      </c>
      <c r="H42" s="1" t="s">
        <v>80</v>
      </c>
      <c r="I42" s="4" t="n">
        <v>4</v>
      </c>
      <c r="J42" s="5" t="n">
        <v>0</v>
      </c>
      <c r="K42" s="6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0</v>
      </c>
      <c r="V42" s="4"/>
      <c r="W42" s="4"/>
      <c r="X42" s="5" t="n">
        <v>0</v>
      </c>
      <c r="Y42" s="5" t="n">
        <v>-45.68</v>
      </c>
    </row>
    <row r="43" customFormat="false" ht="12.8" hidden="false" customHeight="false" outlineLevel="0" collapsed="false">
      <c r="A43" s="3" t="n">
        <v>45989</v>
      </c>
      <c r="B43" s="1" t="s">
        <v>25</v>
      </c>
      <c r="C43" s="1" t="s">
        <v>83</v>
      </c>
      <c r="D43" s="3" t="n">
        <v>45989.462754629</v>
      </c>
      <c r="F43" s="4" t="s">
        <v>84</v>
      </c>
      <c r="G43" s="1" t="s">
        <v>85</v>
      </c>
      <c r="H43" s="1" t="s">
        <v>86</v>
      </c>
      <c r="I43" s="4" t="n">
        <v>1</v>
      </c>
      <c r="J43" s="5" t="n">
        <v>0</v>
      </c>
      <c r="K43" s="6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5" t="n">
        <v>0</v>
      </c>
      <c r="T43" s="5" t="n">
        <v>0</v>
      </c>
      <c r="U43" s="5" t="n">
        <v>0</v>
      </c>
      <c r="V43" s="4"/>
      <c r="W43" s="4"/>
      <c r="X43" s="5" t="n">
        <v>0</v>
      </c>
      <c r="Y43" s="5" t="n">
        <v>-9.36</v>
      </c>
    </row>
    <row r="44" customFormat="false" ht="12.8" hidden="false" customHeight="false" outlineLevel="0" collapsed="false">
      <c r="A44" s="3" t="n">
        <v>45985</v>
      </c>
      <c r="B44" s="1" t="s">
        <v>30</v>
      </c>
      <c r="C44" s="1" t="s">
        <v>87</v>
      </c>
      <c r="D44" s="3" t="n">
        <v>45981.588831018</v>
      </c>
      <c r="E44" s="1" t="s">
        <v>32</v>
      </c>
      <c r="F44" s="4" t="s">
        <v>88</v>
      </c>
      <c r="G44" s="1" t="s">
        <v>89</v>
      </c>
      <c r="H44" s="1" t="s">
        <v>90</v>
      </c>
      <c r="I44" s="4" t="n">
        <v>1</v>
      </c>
      <c r="J44" s="5" t="n">
        <v>600</v>
      </c>
      <c r="K44" s="6" t="n">
        <v>0.41</v>
      </c>
      <c r="L44" s="5" t="n">
        <v>-246</v>
      </c>
      <c r="M44" s="5" t="n">
        <v>0</v>
      </c>
      <c r="N44" s="5" t="n">
        <v>-10</v>
      </c>
      <c r="O44" s="5" t="n">
        <v>0</v>
      </c>
      <c r="P44" s="5" t="n">
        <v>-4.67</v>
      </c>
      <c r="Q44" s="5" t="n">
        <v>0</v>
      </c>
      <c r="R44" s="5" t="n">
        <v>0</v>
      </c>
      <c r="S44" s="5" t="n">
        <v>0</v>
      </c>
      <c r="T44" s="5" t="n">
        <v>0</v>
      </c>
      <c r="U44" s="5" t="n">
        <v>-80</v>
      </c>
      <c r="V44" s="4"/>
      <c r="W44" s="4"/>
      <c r="X44" s="5" t="n">
        <v>0</v>
      </c>
      <c r="Y44" s="5" t="n">
        <v>259.33</v>
      </c>
    </row>
    <row r="45" customFormat="false" ht="12.8" hidden="false" customHeight="false" outlineLevel="0" collapsed="false">
      <c r="A45" s="3" t="n">
        <v>45985</v>
      </c>
      <c r="B45" s="1" t="s">
        <v>30</v>
      </c>
      <c r="C45" s="1" t="s">
        <v>87</v>
      </c>
      <c r="D45" s="3" t="n">
        <v>45981.588831018</v>
      </c>
      <c r="E45" s="1" t="s">
        <v>32</v>
      </c>
      <c r="F45" s="4" t="s">
        <v>91</v>
      </c>
      <c r="G45" s="1" t="s">
        <v>92</v>
      </c>
      <c r="H45" s="1" t="s">
        <v>93</v>
      </c>
      <c r="I45" s="4" t="n">
        <v>1</v>
      </c>
      <c r="J45" s="5" t="n">
        <v>600</v>
      </c>
      <c r="K45" s="6" t="n">
        <v>0.41</v>
      </c>
      <c r="L45" s="5" t="n">
        <v>-246</v>
      </c>
      <c r="M45" s="5" t="n">
        <v>0</v>
      </c>
      <c r="N45" s="5" t="n">
        <v>-10</v>
      </c>
      <c r="O45" s="5" t="n">
        <v>0</v>
      </c>
      <c r="P45" s="5" t="n">
        <v>-4.67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-80</v>
      </c>
      <c r="V45" s="4"/>
      <c r="W45" s="4"/>
      <c r="X45" s="5" t="n">
        <v>0</v>
      </c>
      <c r="Y45" s="5" t="n">
        <v>259.33</v>
      </c>
    </row>
    <row r="46" customFormat="false" ht="12.8" hidden="false" customHeight="false" outlineLevel="0" collapsed="false">
      <c r="A46" s="3" t="n">
        <v>45985</v>
      </c>
      <c r="B46" s="1" t="s">
        <v>30</v>
      </c>
      <c r="C46" s="1" t="s">
        <v>87</v>
      </c>
      <c r="D46" s="3" t="n">
        <v>45981.588831018</v>
      </c>
      <c r="E46" s="1" t="s">
        <v>32</v>
      </c>
      <c r="F46" s="4" t="s">
        <v>94</v>
      </c>
      <c r="G46" s="1" t="s">
        <v>95</v>
      </c>
      <c r="H46" s="1" t="s">
        <v>96</v>
      </c>
      <c r="I46" s="4" t="n">
        <v>1</v>
      </c>
      <c r="J46" s="5" t="n">
        <v>800</v>
      </c>
      <c r="K46" s="6" t="n">
        <v>0.41</v>
      </c>
      <c r="L46" s="5" t="n">
        <v>-328</v>
      </c>
      <c r="M46" s="5" t="n">
        <v>0</v>
      </c>
      <c r="N46" s="5" t="n">
        <v>-10</v>
      </c>
      <c r="O46" s="5" t="n">
        <v>0</v>
      </c>
      <c r="P46" s="5" t="n">
        <v>-6.23</v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-80</v>
      </c>
      <c r="V46" s="4"/>
      <c r="W46" s="4"/>
      <c r="X46" s="5" t="n">
        <v>0</v>
      </c>
      <c r="Y46" s="5" t="n">
        <v>375.77</v>
      </c>
    </row>
    <row r="47" customFormat="false" ht="12.8" hidden="false" customHeight="false" outlineLevel="0" collapsed="false">
      <c r="A47" s="3" t="n">
        <v>45987</v>
      </c>
      <c r="B47" s="1" t="s">
        <v>25</v>
      </c>
      <c r="C47" s="1" t="s">
        <v>97</v>
      </c>
      <c r="D47" s="3" t="n">
        <v>45987.311828703</v>
      </c>
      <c r="F47" s="4" t="s">
        <v>98</v>
      </c>
      <c r="G47" s="1" t="s">
        <v>99</v>
      </c>
      <c r="H47" s="1" t="s">
        <v>100</v>
      </c>
      <c r="I47" s="4" t="n">
        <v>1</v>
      </c>
      <c r="J47" s="5" t="n">
        <v>0</v>
      </c>
      <c r="K47" s="6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0</v>
      </c>
      <c r="V47" s="4"/>
      <c r="W47" s="4"/>
      <c r="X47" s="5" t="n">
        <v>0</v>
      </c>
      <c r="Y47" s="5" t="n">
        <v>-8.82</v>
      </c>
    </row>
    <row r="48" customFormat="false" ht="12.8" hidden="false" customHeight="false" outlineLevel="0" collapsed="false">
      <c r="A48" s="3" t="n">
        <v>45987</v>
      </c>
      <c r="B48" s="1" t="s">
        <v>25</v>
      </c>
      <c r="C48" s="1" t="s">
        <v>97</v>
      </c>
      <c r="D48" s="3" t="n">
        <v>45987.311828703</v>
      </c>
      <c r="F48" s="4" t="s">
        <v>101</v>
      </c>
      <c r="G48" s="1" t="s">
        <v>102</v>
      </c>
      <c r="H48" s="1" t="s">
        <v>103</v>
      </c>
      <c r="I48" s="4" t="n">
        <v>1</v>
      </c>
      <c r="J48" s="5" t="n">
        <v>0</v>
      </c>
      <c r="K48" s="6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/>
      <c r="W48" s="4"/>
      <c r="X48" s="5" t="n">
        <v>0</v>
      </c>
      <c r="Y48" s="5" t="n">
        <v>-8.21</v>
      </c>
    </row>
    <row r="49" customFormat="false" ht="12.8" hidden="false" customHeight="false" outlineLevel="0" collapsed="false">
      <c r="A49" s="3" t="n">
        <v>45985</v>
      </c>
      <c r="B49" s="1" t="s">
        <v>30</v>
      </c>
      <c r="C49" s="1" t="s">
        <v>104</v>
      </c>
      <c r="D49" s="3" t="n">
        <v>45976.656215277</v>
      </c>
      <c r="E49" s="1" t="s">
        <v>32</v>
      </c>
      <c r="F49" s="4" t="s">
        <v>105</v>
      </c>
      <c r="G49" s="1" t="s">
        <v>106</v>
      </c>
      <c r="H49" s="1" t="s">
        <v>107</v>
      </c>
      <c r="I49" s="4" t="n">
        <v>2</v>
      </c>
      <c r="J49" s="5" t="n">
        <v>3800</v>
      </c>
      <c r="K49" s="6" t="n">
        <v>0.43</v>
      </c>
      <c r="L49" s="5" t="n">
        <v>-1634</v>
      </c>
      <c r="M49" s="5" t="n">
        <v>0</v>
      </c>
      <c r="N49" s="5" t="n">
        <v>-30</v>
      </c>
      <c r="O49" s="5" t="n">
        <v>0</v>
      </c>
      <c r="P49" s="5" t="n">
        <v>-18.64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-160</v>
      </c>
      <c r="V49" s="4"/>
      <c r="W49" s="4"/>
      <c r="X49" s="5" t="n">
        <v>0</v>
      </c>
      <c r="Y49" s="5" t="n">
        <v>1957.36</v>
      </c>
    </row>
    <row r="50" customFormat="false" ht="12.8" hidden="false" customHeight="false" outlineLevel="0" collapsed="false">
      <c r="A50" s="3" t="n">
        <v>45991</v>
      </c>
      <c r="B50" s="1" t="s">
        <v>30</v>
      </c>
      <c r="C50" s="1" t="s">
        <v>108</v>
      </c>
      <c r="D50" s="3" t="n">
        <v>45988.3446875</v>
      </c>
      <c r="E50" s="1" t="s">
        <v>32</v>
      </c>
      <c r="F50" s="4" t="s">
        <v>109</v>
      </c>
      <c r="G50" s="1" t="s">
        <v>110</v>
      </c>
      <c r="H50" s="1" t="s">
        <v>111</v>
      </c>
      <c r="I50" s="4" t="n">
        <v>2</v>
      </c>
      <c r="J50" s="5" t="n">
        <v>1700</v>
      </c>
      <c r="K50" s="6" t="n">
        <v>0.41</v>
      </c>
      <c r="L50" s="5" t="n">
        <v>-697</v>
      </c>
      <c r="M50" s="5" t="n">
        <v>0</v>
      </c>
      <c r="N50" s="5" t="n">
        <v>-30</v>
      </c>
      <c r="O50" s="5" t="n">
        <v>0</v>
      </c>
      <c r="P50" s="5" t="n">
        <v>-8.94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-160</v>
      </c>
      <c r="V50" s="4"/>
      <c r="W50" s="4"/>
      <c r="X50" s="5" t="n">
        <v>0</v>
      </c>
      <c r="Y50" s="5" t="n">
        <v>804.06</v>
      </c>
    </row>
    <row r="51" customFormat="false" ht="12.8" hidden="false" customHeight="false" outlineLevel="0" collapsed="false">
      <c r="A51" s="3" t="n">
        <v>45991</v>
      </c>
      <c r="B51" s="1" t="s">
        <v>25</v>
      </c>
      <c r="C51" s="1" t="s">
        <v>108</v>
      </c>
      <c r="D51" s="3" t="n">
        <v>45988.3446875</v>
      </c>
      <c r="F51" s="4" t="s">
        <v>109</v>
      </c>
      <c r="G51" s="1" t="s">
        <v>110</v>
      </c>
      <c r="H51" s="1" t="s">
        <v>111</v>
      </c>
      <c r="I51" s="4" t="n">
        <v>2</v>
      </c>
      <c r="J51" s="5" t="n">
        <v>0</v>
      </c>
      <c r="K51" s="6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5" t="n">
        <v>0</v>
      </c>
      <c r="U51" s="5" t="n">
        <v>0</v>
      </c>
      <c r="V51" s="4"/>
      <c r="W51" s="4"/>
      <c r="X51" s="5" t="n">
        <v>0</v>
      </c>
      <c r="Y51" s="5" t="n">
        <v>-18.66</v>
      </c>
    </row>
    <row r="52" customFormat="false" ht="12.8" hidden="false" customHeight="false" outlineLevel="0" collapsed="false">
      <c r="A52" s="3" t="n">
        <v>45986</v>
      </c>
      <c r="B52" s="1" t="s">
        <v>30</v>
      </c>
      <c r="C52" s="1" t="s">
        <v>112</v>
      </c>
      <c r="D52" s="3" t="n">
        <v>45981.936759259</v>
      </c>
      <c r="E52" s="1" t="s">
        <v>32</v>
      </c>
      <c r="F52" s="4" t="s">
        <v>113</v>
      </c>
      <c r="G52" s="1" t="s">
        <v>114</v>
      </c>
      <c r="H52" s="1" t="s">
        <v>115</v>
      </c>
      <c r="I52" s="4" t="n">
        <v>1</v>
      </c>
      <c r="J52" s="5" t="n">
        <v>18000</v>
      </c>
      <c r="K52" s="6" t="n">
        <v>0.44</v>
      </c>
      <c r="L52" s="5" t="n">
        <v>-7920</v>
      </c>
      <c r="M52" s="5" t="n">
        <v>0</v>
      </c>
      <c r="N52" s="5" t="n">
        <v>-30</v>
      </c>
      <c r="O52" s="5" t="n">
        <v>0</v>
      </c>
      <c r="P52" s="5" t="n">
        <v>-10.42</v>
      </c>
      <c r="Q52" s="5" t="n">
        <v>0</v>
      </c>
      <c r="R52" s="5" t="n">
        <v>0</v>
      </c>
      <c r="S52" s="5" t="n">
        <v>0</v>
      </c>
      <c r="T52" s="5" t="n">
        <v>0</v>
      </c>
      <c r="U52" s="5" t="n">
        <v>-415</v>
      </c>
      <c r="V52" s="4"/>
      <c r="W52" s="4"/>
      <c r="X52" s="5" t="n">
        <v>0</v>
      </c>
      <c r="Y52" s="5" t="n">
        <v>9624.58</v>
      </c>
    </row>
    <row r="53" customFormat="false" ht="12.8" hidden="false" customHeight="false" outlineLevel="0" collapsed="false">
      <c r="A53" s="3" t="n">
        <v>45987</v>
      </c>
      <c r="B53" s="1" t="s">
        <v>30</v>
      </c>
      <c r="C53" s="1" t="s">
        <v>116</v>
      </c>
      <c r="D53" s="3" t="n">
        <v>45981.278310185</v>
      </c>
      <c r="E53" s="1" t="s">
        <v>117</v>
      </c>
      <c r="F53" s="4" t="s">
        <v>113</v>
      </c>
      <c r="G53" s="1" t="s">
        <v>114</v>
      </c>
      <c r="H53" s="1" t="s">
        <v>115</v>
      </c>
      <c r="I53" s="4" t="n">
        <v>1</v>
      </c>
      <c r="J53" s="5" t="n">
        <v>17000</v>
      </c>
      <c r="K53" s="6" t="n">
        <v>0.37</v>
      </c>
      <c r="L53" s="5" t="n">
        <v>-6290</v>
      </c>
      <c r="M53" s="5" t="n">
        <v>0</v>
      </c>
      <c r="N53" s="5" t="n">
        <v>0</v>
      </c>
      <c r="O53" s="5" t="n">
        <v>0</v>
      </c>
      <c r="P53" s="5" t="n">
        <v>-25</v>
      </c>
      <c r="Q53" s="5" t="n">
        <v>0</v>
      </c>
      <c r="R53" s="5" t="n">
        <v>0</v>
      </c>
      <c r="S53" s="5" t="n">
        <v>0</v>
      </c>
      <c r="T53" s="5" t="n">
        <v>0</v>
      </c>
      <c r="U53" s="5" t="n">
        <v>-261</v>
      </c>
      <c r="V53" s="4"/>
      <c r="W53" s="4"/>
      <c r="X53" s="5" t="n">
        <v>0</v>
      </c>
      <c r="Y53" s="5" t="n">
        <v>10424</v>
      </c>
    </row>
    <row r="54" customFormat="false" ht="12.8" hidden="false" customHeight="false" outlineLevel="0" collapsed="false">
      <c r="A54" s="3" t="n">
        <v>45991</v>
      </c>
      <c r="B54" s="1" t="s">
        <v>30</v>
      </c>
      <c r="C54" s="1" t="s">
        <v>118</v>
      </c>
      <c r="D54" s="3" t="n">
        <v>45986.765162037</v>
      </c>
      <c r="E54" s="1" t="s">
        <v>32</v>
      </c>
      <c r="F54" s="4" t="s">
        <v>119</v>
      </c>
      <c r="G54" s="1" t="s">
        <v>120</v>
      </c>
      <c r="H54" s="1" t="s">
        <v>121</v>
      </c>
      <c r="I54" s="4" t="n">
        <v>3</v>
      </c>
      <c r="J54" s="5" t="n">
        <v>10200</v>
      </c>
      <c r="K54" s="6" t="n">
        <v>0.44</v>
      </c>
      <c r="L54" s="5" t="n">
        <v>-4488</v>
      </c>
      <c r="M54" s="5" t="n">
        <v>0</v>
      </c>
      <c r="N54" s="5" t="n">
        <v>-30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-240</v>
      </c>
      <c r="V54" s="4"/>
      <c r="W54" s="4"/>
      <c r="X54" s="5" t="n">
        <v>0</v>
      </c>
      <c r="Y54" s="5" t="n">
        <v>5442</v>
      </c>
    </row>
    <row r="55" customFormat="false" ht="12.8" hidden="false" customHeight="false" outlineLevel="0" collapsed="false">
      <c r="A55" s="3" t="n">
        <v>45986</v>
      </c>
      <c r="B55" s="1" t="s">
        <v>25</v>
      </c>
      <c r="C55" s="1" t="s">
        <v>122</v>
      </c>
      <c r="D55" s="3" t="n">
        <v>45986.85974537</v>
      </c>
      <c r="F55" s="4" t="s">
        <v>123</v>
      </c>
      <c r="G55" s="1" t="s">
        <v>124</v>
      </c>
      <c r="H55" s="1" t="s">
        <v>125</v>
      </c>
      <c r="I55" s="4" t="n">
        <v>1</v>
      </c>
      <c r="J55" s="5" t="n">
        <v>0</v>
      </c>
      <c r="K55" s="6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n">
        <v>0</v>
      </c>
      <c r="S55" s="5" t="n">
        <v>0</v>
      </c>
      <c r="T55" s="5" t="n">
        <v>0</v>
      </c>
      <c r="U55" s="5" t="n">
        <v>0</v>
      </c>
      <c r="V55" s="4"/>
      <c r="W55" s="4"/>
      <c r="X55" s="5" t="n">
        <v>0</v>
      </c>
      <c r="Y55" s="5" t="n">
        <v>-20.57</v>
      </c>
    </row>
    <row r="56" customFormat="false" ht="12.8" hidden="false" customHeight="false" outlineLevel="0" collapsed="false">
      <c r="A56" s="3" t="n">
        <v>45990</v>
      </c>
      <c r="B56" s="1" t="s">
        <v>30</v>
      </c>
      <c r="C56" s="1" t="s">
        <v>126</v>
      </c>
      <c r="D56" s="3" t="n">
        <v>45982.877465277</v>
      </c>
      <c r="E56" s="1" t="s">
        <v>32</v>
      </c>
      <c r="F56" s="4" t="s">
        <v>123</v>
      </c>
      <c r="G56" s="1" t="s">
        <v>124</v>
      </c>
      <c r="H56" s="1" t="s">
        <v>125</v>
      </c>
      <c r="I56" s="4" t="n">
        <v>3</v>
      </c>
      <c r="J56" s="5" t="n">
        <v>4800</v>
      </c>
      <c r="K56" s="6" t="n">
        <v>0.44</v>
      </c>
      <c r="L56" s="5" t="n">
        <v>-2112</v>
      </c>
      <c r="M56" s="5" t="n">
        <v>0</v>
      </c>
      <c r="N56" s="5" t="n">
        <v>-30</v>
      </c>
      <c r="O56" s="5" t="n">
        <v>0</v>
      </c>
      <c r="P56" s="5" t="n">
        <v>-27.51</v>
      </c>
      <c r="Q56" s="5" t="n">
        <v>0</v>
      </c>
      <c r="R56" s="5" t="n">
        <v>0</v>
      </c>
      <c r="S56" s="5" t="n">
        <v>0</v>
      </c>
      <c r="T56" s="5" t="n">
        <v>0</v>
      </c>
      <c r="U56" s="5" t="n">
        <v>-240</v>
      </c>
      <c r="V56" s="4"/>
      <c r="W56" s="4"/>
      <c r="X56" s="5" t="n">
        <v>0</v>
      </c>
      <c r="Y56" s="5" t="n">
        <v>2390.49</v>
      </c>
    </row>
    <row r="57" customFormat="false" ht="12.8" hidden="false" customHeight="false" outlineLevel="0" collapsed="false">
      <c r="A57" s="3" t="n">
        <v>45990</v>
      </c>
      <c r="B57" s="1" t="s">
        <v>25</v>
      </c>
      <c r="C57" s="1" t="s">
        <v>126</v>
      </c>
      <c r="D57" s="3" t="n">
        <v>45982.877465277</v>
      </c>
      <c r="F57" s="4" t="s">
        <v>123</v>
      </c>
      <c r="G57" s="1" t="s">
        <v>124</v>
      </c>
      <c r="H57" s="1" t="s">
        <v>125</v>
      </c>
      <c r="I57" s="4" t="n">
        <v>3</v>
      </c>
      <c r="J57" s="5" t="n">
        <v>0</v>
      </c>
      <c r="K57" s="6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0</v>
      </c>
      <c r="T57" s="5" t="n">
        <v>0</v>
      </c>
      <c r="U57" s="5" t="n">
        <v>0</v>
      </c>
      <c r="V57" s="4"/>
      <c r="W57" s="4"/>
      <c r="X57" s="5" t="n">
        <v>0</v>
      </c>
      <c r="Y57" s="5" t="n">
        <v>-59.55</v>
      </c>
    </row>
    <row r="58" customFormat="false" ht="12.8" hidden="false" customHeight="false" outlineLevel="0" collapsed="false">
      <c r="A58" s="3" t="n">
        <v>45985</v>
      </c>
      <c r="B58" s="1" t="s">
        <v>25</v>
      </c>
      <c r="C58" s="1" t="s">
        <v>127</v>
      </c>
      <c r="D58" s="3" t="n">
        <v>45985.011064814</v>
      </c>
      <c r="F58" s="4" t="s">
        <v>128</v>
      </c>
      <c r="G58" s="1" t="s">
        <v>129</v>
      </c>
      <c r="H58" s="1" t="s">
        <v>130</v>
      </c>
      <c r="I58" s="4" t="n">
        <v>1</v>
      </c>
      <c r="J58" s="5" t="n">
        <v>0</v>
      </c>
      <c r="K58" s="6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n">
        <v>0</v>
      </c>
      <c r="S58" s="5" t="n">
        <v>0</v>
      </c>
      <c r="T58" s="5" t="n">
        <v>0</v>
      </c>
      <c r="U58" s="5" t="n">
        <v>0</v>
      </c>
      <c r="V58" s="4"/>
      <c r="W58" s="4"/>
      <c r="X58" s="5" t="n">
        <v>0</v>
      </c>
      <c r="Y58" s="5" t="n">
        <v>-41.33</v>
      </c>
    </row>
    <row r="59" customFormat="false" ht="12.8" hidden="false" customHeight="false" outlineLevel="0" collapsed="false">
      <c r="A59" s="3" t="n">
        <v>45985</v>
      </c>
      <c r="B59" s="1" t="s">
        <v>25</v>
      </c>
      <c r="C59" s="1" t="s">
        <v>131</v>
      </c>
      <c r="D59" s="3" t="n">
        <v>45985.760706018</v>
      </c>
      <c r="F59" s="4" t="s">
        <v>128</v>
      </c>
      <c r="G59" s="1" t="s">
        <v>129</v>
      </c>
      <c r="H59" s="1" t="s">
        <v>130</v>
      </c>
      <c r="I59" s="4" t="n">
        <v>1</v>
      </c>
      <c r="J59" s="5" t="n">
        <v>0</v>
      </c>
      <c r="K59" s="6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0</v>
      </c>
      <c r="R59" s="5" t="n">
        <v>0</v>
      </c>
      <c r="S59" s="5" t="n">
        <v>0</v>
      </c>
      <c r="T59" s="5" t="n">
        <v>0</v>
      </c>
      <c r="U59" s="5" t="n">
        <v>0</v>
      </c>
      <c r="V59" s="4"/>
      <c r="W59" s="4"/>
      <c r="X59" s="5" t="n">
        <v>0</v>
      </c>
      <c r="Y59" s="5" t="n">
        <v>-17.82</v>
      </c>
    </row>
    <row r="60" customFormat="false" ht="12.8" hidden="false" customHeight="false" outlineLevel="0" collapsed="false">
      <c r="A60" s="3" t="n">
        <v>45986</v>
      </c>
      <c r="B60" s="1" t="s">
        <v>25</v>
      </c>
      <c r="C60" s="1" t="s">
        <v>132</v>
      </c>
      <c r="D60" s="3" t="n">
        <v>45986.936446759</v>
      </c>
      <c r="F60" s="4" t="s">
        <v>128</v>
      </c>
      <c r="G60" s="1" t="s">
        <v>129</v>
      </c>
      <c r="H60" s="1" t="s">
        <v>130</v>
      </c>
      <c r="I60" s="4" t="n">
        <v>1</v>
      </c>
      <c r="J60" s="5" t="n">
        <v>0</v>
      </c>
      <c r="K60" s="6" t="n">
        <v>0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5" t="n">
        <v>0</v>
      </c>
      <c r="R60" s="5" t="n">
        <v>0</v>
      </c>
      <c r="S60" s="5" t="n">
        <v>0</v>
      </c>
      <c r="T60" s="5" t="n">
        <v>0</v>
      </c>
      <c r="U60" s="5" t="n">
        <v>0</v>
      </c>
      <c r="V60" s="4"/>
      <c r="W60" s="4"/>
      <c r="X60" s="5" t="n">
        <v>0</v>
      </c>
      <c r="Y60" s="5" t="n">
        <v>-42.98</v>
      </c>
    </row>
    <row r="61" customFormat="false" ht="12.8" hidden="false" customHeight="false" outlineLevel="0" collapsed="false">
      <c r="A61" s="3" t="n">
        <v>45990</v>
      </c>
      <c r="B61" s="1" t="s">
        <v>30</v>
      </c>
      <c r="C61" s="1" t="s">
        <v>133</v>
      </c>
      <c r="D61" s="3" t="n">
        <v>45985.760706018</v>
      </c>
      <c r="E61" s="1" t="s">
        <v>32</v>
      </c>
      <c r="F61" s="4" t="s">
        <v>128</v>
      </c>
      <c r="G61" s="1" t="s">
        <v>129</v>
      </c>
      <c r="H61" s="1" t="s">
        <v>130</v>
      </c>
      <c r="I61" s="4" t="n">
        <v>1</v>
      </c>
      <c r="J61" s="5" t="n">
        <v>3300</v>
      </c>
      <c r="K61" s="6" t="n">
        <v>0.44</v>
      </c>
      <c r="L61" s="5" t="n">
        <v>-1452</v>
      </c>
      <c r="M61" s="5" t="n">
        <v>0</v>
      </c>
      <c r="N61" s="5" t="n">
        <v>-30</v>
      </c>
      <c r="O61" s="5" t="n">
        <v>0</v>
      </c>
      <c r="P61" s="5" t="n">
        <v>0</v>
      </c>
      <c r="Q61" s="5" t="n">
        <v>0</v>
      </c>
      <c r="R61" s="5" t="n">
        <v>0</v>
      </c>
      <c r="S61" s="5" t="n">
        <v>0</v>
      </c>
      <c r="T61" s="5" t="n">
        <v>0</v>
      </c>
      <c r="U61" s="5" t="n">
        <v>-80</v>
      </c>
      <c r="V61" s="4"/>
      <c r="W61" s="4"/>
      <c r="X61" s="5" t="n">
        <v>0</v>
      </c>
      <c r="Y61" s="5" t="n">
        <v>1738</v>
      </c>
    </row>
    <row r="62" customFormat="false" ht="12.8" hidden="false" customHeight="false" outlineLevel="0" collapsed="false">
      <c r="A62" s="3" t="n">
        <v>45985</v>
      </c>
      <c r="B62" s="1" t="s">
        <v>30</v>
      </c>
      <c r="C62" s="1" t="s">
        <v>134</v>
      </c>
      <c r="D62" s="3" t="n">
        <v>45977.296805555</v>
      </c>
      <c r="E62" s="1" t="s">
        <v>32</v>
      </c>
      <c r="F62" s="4" t="s">
        <v>135</v>
      </c>
      <c r="G62" s="1" t="s">
        <v>136</v>
      </c>
      <c r="H62" s="1" t="s">
        <v>137</v>
      </c>
      <c r="I62" s="4" t="n">
        <v>2</v>
      </c>
      <c r="J62" s="5" t="n">
        <v>12000</v>
      </c>
      <c r="K62" s="6" t="n">
        <v>0.41</v>
      </c>
      <c r="L62" s="5" t="n">
        <v>-4920</v>
      </c>
      <c r="M62" s="5" t="n">
        <v>0</v>
      </c>
      <c r="N62" s="5" t="n">
        <v>-30</v>
      </c>
      <c r="O62" s="5" t="n">
        <v>0</v>
      </c>
      <c r="P62" s="5" t="n">
        <v>0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-278</v>
      </c>
      <c r="V62" s="4"/>
      <c r="W62" s="4"/>
      <c r="X62" s="5" t="n">
        <v>0</v>
      </c>
      <c r="Y62" s="5" t="n">
        <v>6772</v>
      </c>
    </row>
    <row r="63" customFormat="false" ht="12.8" hidden="false" customHeight="false" outlineLevel="0" collapsed="false">
      <c r="A63" s="3" t="n">
        <v>45986</v>
      </c>
      <c r="B63" s="1" t="s">
        <v>30</v>
      </c>
      <c r="C63" s="1" t="s">
        <v>138</v>
      </c>
      <c r="D63" s="3" t="n">
        <v>45981.417881944</v>
      </c>
      <c r="E63" s="1" t="s">
        <v>32</v>
      </c>
      <c r="F63" s="4" t="s">
        <v>135</v>
      </c>
      <c r="G63" s="1" t="s">
        <v>136</v>
      </c>
      <c r="H63" s="1" t="s">
        <v>137</v>
      </c>
      <c r="I63" s="4" t="n">
        <v>1</v>
      </c>
      <c r="J63" s="5" t="n">
        <v>6000</v>
      </c>
      <c r="K63" s="6" t="n">
        <v>0.41</v>
      </c>
      <c r="L63" s="5" t="n">
        <v>-2460</v>
      </c>
      <c r="M63" s="5" t="n">
        <v>0</v>
      </c>
      <c r="N63" s="5" t="n">
        <v>-30</v>
      </c>
      <c r="O63" s="5" t="n">
        <v>0</v>
      </c>
      <c r="P63" s="5" t="n">
        <v>-25</v>
      </c>
      <c r="Q63" s="5" t="n">
        <v>0</v>
      </c>
      <c r="R63" s="5" t="n">
        <v>0</v>
      </c>
      <c r="S63" s="5" t="n">
        <v>0</v>
      </c>
      <c r="T63" s="5" t="n">
        <v>0</v>
      </c>
      <c r="U63" s="5" t="n">
        <v>-139</v>
      </c>
      <c r="V63" s="4"/>
      <c r="W63" s="4"/>
      <c r="X63" s="5" t="n">
        <v>0</v>
      </c>
      <c r="Y63" s="5" t="n">
        <v>3346</v>
      </c>
    </row>
    <row r="64" customFormat="false" ht="12.8" hidden="false" customHeight="false" outlineLevel="0" collapsed="false">
      <c r="A64" s="3" t="n">
        <v>45986</v>
      </c>
      <c r="B64" s="1" t="s">
        <v>25</v>
      </c>
      <c r="C64" s="1" t="s">
        <v>138</v>
      </c>
      <c r="D64" s="3" t="n">
        <v>45981.417881944</v>
      </c>
      <c r="F64" s="4" t="s">
        <v>135</v>
      </c>
      <c r="G64" s="1" t="s">
        <v>136</v>
      </c>
      <c r="H64" s="1" t="s">
        <v>137</v>
      </c>
      <c r="I64" s="4" t="n">
        <v>1</v>
      </c>
      <c r="J64" s="5" t="n">
        <v>0</v>
      </c>
      <c r="K64" s="6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5" t="n">
        <v>0</v>
      </c>
      <c r="T64" s="5" t="n">
        <v>0</v>
      </c>
      <c r="U64" s="5" t="n">
        <v>0</v>
      </c>
      <c r="V64" s="4"/>
      <c r="W64" s="4"/>
      <c r="X64" s="5" t="n">
        <v>0</v>
      </c>
      <c r="Y64" s="5" t="n">
        <v>-73.92</v>
      </c>
    </row>
    <row r="65" customFormat="false" ht="12.8" hidden="false" customHeight="false" outlineLevel="0" collapsed="false">
      <c r="A65" s="3" t="n">
        <v>45986</v>
      </c>
      <c r="B65" s="1" t="s">
        <v>30</v>
      </c>
      <c r="C65" s="1" t="s">
        <v>139</v>
      </c>
      <c r="D65" s="3" t="n">
        <v>45975.671319444</v>
      </c>
      <c r="E65" s="1" t="s">
        <v>32</v>
      </c>
      <c r="F65" s="4" t="s">
        <v>135</v>
      </c>
      <c r="G65" s="1" t="s">
        <v>136</v>
      </c>
      <c r="H65" s="1" t="s">
        <v>137</v>
      </c>
      <c r="I65" s="4" t="n">
        <v>1</v>
      </c>
      <c r="J65" s="5" t="n">
        <v>6000</v>
      </c>
      <c r="K65" s="6" t="n">
        <v>0.41</v>
      </c>
      <c r="L65" s="5" t="n">
        <v>-2460</v>
      </c>
      <c r="M65" s="5" t="n">
        <v>0</v>
      </c>
      <c r="N65" s="5" t="n">
        <v>-30</v>
      </c>
      <c r="O65" s="5" t="n">
        <v>0</v>
      </c>
      <c r="P65" s="5" t="n">
        <v>-20.23</v>
      </c>
      <c r="Q65" s="5" t="n">
        <v>0</v>
      </c>
      <c r="R65" s="5" t="n">
        <v>0</v>
      </c>
      <c r="S65" s="5" t="n">
        <v>0</v>
      </c>
      <c r="T65" s="5" t="n">
        <v>0</v>
      </c>
      <c r="U65" s="5" t="n">
        <v>-139</v>
      </c>
      <c r="V65" s="4"/>
      <c r="W65" s="4"/>
      <c r="X65" s="5" t="n">
        <v>0</v>
      </c>
      <c r="Y65" s="5" t="n">
        <v>3350.77</v>
      </c>
    </row>
    <row r="66" customFormat="false" ht="12.8" hidden="false" customHeight="false" outlineLevel="0" collapsed="false">
      <c r="A66" s="3" t="n">
        <v>45986</v>
      </c>
      <c r="B66" s="1" t="s">
        <v>25</v>
      </c>
      <c r="C66" s="1" t="s">
        <v>139</v>
      </c>
      <c r="D66" s="3" t="n">
        <v>45975.671319444</v>
      </c>
      <c r="F66" s="4" t="s">
        <v>135</v>
      </c>
      <c r="G66" s="1" t="s">
        <v>136</v>
      </c>
      <c r="H66" s="1" t="s">
        <v>137</v>
      </c>
      <c r="I66" s="4" t="n">
        <v>1</v>
      </c>
      <c r="J66" s="5" t="n">
        <v>0</v>
      </c>
      <c r="K66" s="6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5" t="n">
        <v>0</v>
      </c>
      <c r="T66" s="5" t="n">
        <v>0</v>
      </c>
      <c r="U66" s="5" t="n">
        <v>0</v>
      </c>
      <c r="V66" s="4"/>
      <c r="W66" s="4"/>
      <c r="X66" s="5" t="n">
        <v>0</v>
      </c>
      <c r="Y66" s="5" t="n">
        <v>-33.64</v>
      </c>
    </row>
    <row r="67" customFormat="false" ht="12.8" hidden="false" customHeight="false" outlineLevel="0" collapsed="false">
      <c r="A67" s="3" t="n">
        <v>45987</v>
      </c>
      <c r="B67" s="1" t="s">
        <v>25</v>
      </c>
      <c r="C67" s="1" t="s">
        <v>140</v>
      </c>
      <c r="D67" s="3" t="n">
        <v>45987.73099537</v>
      </c>
      <c r="F67" s="4" t="s">
        <v>135</v>
      </c>
      <c r="G67" s="1" t="s">
        <v>136</v>
      </c>
      <c r="H67" s="1" t="s">
        <v>137</v>
      </c>
      <c r="I67" s="4" t="n">
        <v>1</v>
      </c>
      <c r="J67" s="5" t="n">
        <v>0</v>
      </c>
      <c r="K67" s="6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0</v>
      </c>
      <c r="T67" s="5" t="n">
        <v>0</v>
      </c>
      <c r="U67" s="5" t="n">
        <v>0</v>
      </c>
      <c r="V67" s="4"/>
      <c r="W67" s="4"/>
      <c r="X67" s="5" t="n">
        <v>0</v>
      </c>
      <c r="Y67" s="5" t="n">
        <v>-84.91</v>
      </c>
    </row>
    <row r="68" customFormat="false" ht="12.8" hidden="false" customHeight="false" outlineLevel="0" collapsed="false">
      <c r="A68" s="3" t="n">
        <v>45985</v>
      </c>
      <c r="B68" s="1" t="s">
        <v>30</v>
      </c>
      <c r="C68" s="1" t="s">
        <v>141</v>
      </c>
      <c r="D68" s="3" t="n">
        <v>45978.733773148</v>
      </c>
      <c r="E68" s="1" t="s">
        <v>32</v>
      </c>
      <c r="F68" s="4" t="s">
        <v>142</v>
      </c>
      <c r="G68" s="1" t="s">
        <v>143</v>
      </c>
      <c r="H68" s="1" t="s">
        <v>144</v>
      </c>
      <c r="I68" s="4" t="n">
        <v>1</v>
      </c>
      <c r="J68" s="5" t="n">
        <v>4900</v>
      </c>
      <c r="K68" s="6" t="n">
        <v>0.41</v>
      </c>
      <c r="L68" s="5" t="n">
        <v>-2009</v>
      </c>
      <c r="M68" s="5" t="n">
        <v>0</v>
      </c>
      <c r="N68" s="5" t="n">
        <v>-30</v>
      </c>
      <c r="O68" s="5" t="n">
        <v>0</v>
      </c>
      <c r="P68" s="5" t="n">
        <v>0</v>
      </c>
      <c r="Q68" s="5" t="n">
        <v>0</v>
      </c>
      <c r="R68" s="5" t="n">
        <v>0</v>
      </c>
      <c r="S68" s="5" t="n">
        <v>0</v>
      </c>
      <c r="T68" s="5" t="n">
        <v>0</v>
      </c>
      <c r="U68" s="5" t="n">
        <v>-80</v>
      </c>
      <c r="V68" s="4"/>
      <c r="W68" s="4"/>
      <c r="X68" s="5" t="n">
        <v>0</v>
      </c>
      <c r="Y68" s="5" t="n">
        <v>2781</v>
      </c>
    </row>
    <row r="69" customFormat="false" ht="12.8" hidden="false" customHeight="false" outlineLevel="0" collapsed="false">
      <c r="A69" s="3" t="n">
        <v>45986</v>
      </c>
      <c r="B69" s="1" t="s">
        <v>30</v>
      </c>
      <c r="C69" s="1" t="s">
        <v>145</v>
      </c>
      <c r="D69" s="3" t="n">
        <v>45978.539224537</v>
      </c>
      <c r="E69" s="1" t="s">
        <v>32</v>
      </c>
      <c r="F69" s="4" t="s">
        <v>142</v>
      </c>
      <c r="G69" s="1" t="s">
        <v>143</v>
      </c>
      <c r="H69" s="1" t="s">
        <v>144</v>
      </c>
      <c r="I69" s="4" t="n">
        <v>1</v>
      </c>
      <c r="J69" s="5" t="n">
        <v>4500</v>
      </c>
      <c r="K69" s="6" t="n">
        <v>0.41</v>
      </c>
      <c r="L69" s="5" t="n">
        <v>-1845</v>
      </c>
      <c r="M69" s="5" t="n">
        <v>0</v>
      </c>
      <c r="N69" s="5" t="n">
        <v>-30</v>
      </c>
      <c r="O69" s="5" t="n">
        <v>0</v>
      </c>
      <c r="P69" s="5" t="n">
        <v>-12.72</v>
      </c>
      <c r="Q69" s="5" t="n">
        <v>0</v>
      </c>
      <c r="R69" s="5" t="n">
        <v>0</v>
      </c>
      <c r="S69" s="5" t="n">
        <v>0</v>
      </c>
      <c r="T69" s="5" t="n">
        <v>0</v>
      </c>
      <c r="U69" s="5" t="n">
        <v>-80</v>
      </c>
      <c r="V69" s="4"/>
      <c r="W69" s="4"/>
      <c r="X69" s="5" t="n">
        <v>0</v>
      </c>
      <c r="Y69" s="5" t="n">
        <v>2532.28</v>
      </c>
    </row>
    <row r="70" customFormat="false" ht="12.8" hidden="false" customHeight="false" outlineLevel="0" collapsed="false">
      <c r="A70" s="3" t="n">
        <v>45986</v>
      </c>
      <c r="B70" s="1" t="s">
        <v>25</v>
      </c>
      <c r="C70" s="1" t="s">
        <v>145</v>
      </c>
      <c r="D70" s="3" t="n">
        <v>45978.539224537</v>
      </c>
      <c r="F70" s="4" t="s">
        <v>142</v>
      </c>
      <c r="G70" s="1" t="s">
        <v>143</v>
      </c>
      <c r="H70" s="1" t="s">
        <v>144</v>
      </c>
      <c r="I70" s="4" t="n">
        <v>1</v>
      </c>
      <c r="J70" s="5" t="n">
        <v>0</v>
      </c>
      <c r="K70" s="6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>
        <v>0</v>
      </c>
      <c r="S70" s="5" t="n">
        <v>0</v>
      </c>
      <c r="T70" s="5" t="n">
        <v>0</v>
      </c>
      <c r="U70" s="5" t="n">
        <v>0</v>
      </c>
      <c r="V70" s="4"/>
      <c r="W70" s="4"/>
      <c r="X70" s="5" t="n">
        <v>0</v>
      </c>
      <c r="Y70" s="5" t="n">
        <v>-53.29</v>
      </c>
    </row>
    <row r="71" customFormat="false" ht="12.8" hidden="false" customHeight="false" outlineLevel="0" collapsed="false">
      <c r="A71" s="3" t="n">
        <v>45987</v>
      </c>
      <c r="B71" s="1" t="s">
        <v>30</v>
      </c>
      <c r="C71" s="1" t="s">
        <v>146</v>
      </c>
      <c r="D71" s="3" t="n">
        <v>45982.448900462</v>
      </c>
      <c r="E71" s="1" t="s">
        <v>32</v>
      </c>
      <c r="F71" s="4" t="s">
        <v>142</v>
      </c>
      <c r="G71" s="1" t="s">
        <v>143</v>
      </c>
      <c r="H71" s="1" t="s">
        <v>144</v>
      </c>
      <c r="I71" s="4" t="n">
        <v>1</v>
      </c>
      <c r="J71" s="5" t="n">
        <v>4900</v>
      </c>
      <c r="K71" s="6" t="n">
        <v>0.41</v>
      </c>
      <c r="L71" s="5" t="n">
        <v>-2009</v>
      </c>
      <c r="M71" s="5" t="n">
        <v>0</v>
      </c>
      <c r="N71" s="5" t="n">
        <v>-30</v>
      </c>
      <c r="O71" s="5" t="n">
        <v>0</v>
      </c>
      <c r="P71" s="5" t="n">
        <v>0</v>
      </c>
      <c r="Q71" s="5" t="n">
        <v>0</v>
      </c>
      <c r="R71" s="5" t="n">
        <v>0</v>
      </c>
      <c r="S71" s="5" t="n">
        <v>0</v>
      </c>
      <c r="T71" s="5" t="n">
        <v>0</v>
      </c>
      <c r="U71" s="5" t="n">
        <v>-80</v>
      </c>
      <c r="V71" s="4"/>
      <c r="W71" s="4"/>
      <c r="X71" s="5" t="n">
        <v>0</v>
      </c>
      <c r="Y71" s="5" t="n">
        <v>2781</v>
      </c>
    </row>
    <row r="72" customFormat="false" ht="12.8" hidden="false" customHeight="false" outlineLevel="0" collapsed="false">
      <c r="A72" s="3" t="n">
        <v>45988</v>
      </c>
      <c r="B72" s="1" t="s">
        <v>25</v>
      </c>
      <c r="C72" s="1" t="s">
        <v>147</v>
      </c>
      <c r="D72" s="3" t="n">
        <v>45988.53912037</v>
      </c>
      <c r="F72" s="4" t="s">
        <v>142</v>
      </c>
      <c r="G72" s="1" t="s">
        <v>143</v>
      </c>
      <c r="H72" s="1" t="s">
        <v>144</v>
      </c>
      <c r="I72" s="4" t="n">
        <v>1</v>
      </c>
      <c r="J72" s="5" t="n">
        <v>0</v>
      </c>
      <c r="K72" s="6" t="n">
        <v>0</v>
      </c>
      <c r="L72" s="5" t="n">
        <v>0</v>
      </c>
      <c r="M72" s="5" t="n">
        <v>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5" t="n">
        <v>0</v>
      </c>
      <c r="T72" s="5" t="n">
        <v>0</v>
      </c>
      <c r="U72" s="5" t="n">
        <v>0</v>
      </c>
      <c r="V72" s="4"/>
      <c r="W72" s="4"/>
      <c r="X72" s="5" t="n">
        <v>0</v>
      </c>
      <c r="Y72" s="5" t="n">
        <v>-63.65</v>
      </c>
    </row>
    <row r="73" customFormat="false" ht="12.8" hidden="false" customHeight="false" outlineLevel="0" collapsed="false">
      <c r="A73" s="3" t="n">
        <v>45988</v>
      </c>
      <c r="B73" s="1" t="s">
        <v>25</v>
      </c>
      <c r="C73" s="1" t="s">
        <v>148</v>
      </c>
      <c r="D73" s="3" t="n">
        <v>45988.704733796</v>
      </c>
      <c r="F73" s="4" t="s">
        <v>142</v>
      </c>
      <c r="G73" s="1" t="s">
        <v>143</v>
      </c>
      <c r="H73" s="1" t="s">
        <v>144</v>
      </c>
      <c r="I73" s="4" t="n">
        <v>1</v>
      </c>
      <c r="J73" s="5" t="n">
        <v>0</v>
      </c>
      <c r="K73" s="6" t="n">
        <v>0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>
        <v>0</v>
      </c>
      <c r="S73" s="5" t="n">
        <v>0</v>
      </c>
      <c r="T73" s="5" t="n">
        <v>0</v>
      </c>
      <c r="U73" s="5" t="n">
        <v>0</v>
      </c>
      <c r="V73" s="4"/>
      <c r="W73" s="4"/>
      <c r="X73" s="5" t="n">
        <v>0</v>
      </c>
      <c r="Y73" s="5" t="n">
        <v>-59.64</v>
      </c>
    </row>
    <row r="74" customFormat="false" ht="12.8" hidden="false" customHeight="false" outlineLevel="0" collapsed="false">
      <c r="A74" s="3" t="n">
        <v>45990</v>
      </c>
      <c r="B74" s="1" t="s">
        <v>30</v>
      </c>
      <c r="C74" s="1" t="s">
        <v>149</v>
      </c>
      <c r="D74" s="3" t="n">
        <v>45986.553136574</v>
      </c>
      <c r="E74" s="1" t="s">
        <v>32</v>
      </c>
      <c r="F74" s="4" t="s">
        <v>142</v>
      </c>
      <c r="G74" s="1" t="s">
        <v>143</v>
      </c>
      <c r="H74" s="1" t="s">
        <v>144</v>
      </c>
      <c r="I74" s="4" t="n">
        <v>1</v>
      </c>
      <c r="J74" s="5" t="n">
        <v>4900</v>
      </c>
      <c r="K74" s="6" t="n">
        <v>0.41</v>
      </c>
      <c r="L74" s="5" t="n">
        <v>-2009</v>
      </c>
      <c r="M74" s="5" t="n">
        <v>0</v>
      </c>
      <c r="N74" s="5" t="n">
        <v>-30</v>
      </c>
      <c r="O74" s="5" t="n">
        <v>0</v>
      </c>
      <c r="P74" s="5" t="n">
        <v>-20.94</v>
      </c>
      <c r="Q74" s="5" t="n">
        <v>0</v>
      </c>
      <c r="R74" s="5" t="n">
        <v>0</v>
      </c>
      <c r="S74" s="5" t="n">
        <v>0</v>
      </c>
      <c r="T74" s="5" t="n">
        <v>0</v>
      </c>
      <c r="U74" s="5" t="n">
        <v>-80</v>
      </c>
      <c r="V74" s="4"/>
      <c r="W74" s="4"/>
      <c r="X74" s="5" t="n">
        <v>0</v>
      </c>
      <c r="Y74" s="5" t="n">
        <v>2760.06</v>
      </c>
    </row>
    <row r="75" customFormat="false" ht="12.8" hidden="false" customHeight="false" outlineLevel="0" collapsed="false">
      <c r="A75" s="3" t="n">
        <v>45990</v>
      </c>
      <c r="B75" s="1" t="s">
        <v>25</v>
      </c>
      <c r="C75" s="1" t="s">
        <v>149</v>
      </c>
      <c r="D75" s="3" t="n">
        <v>45986.553136574</v>
      </c>
      <c r="F75" s="4" t="s">
        <v>142</v>
      </c>
      <c r="G75" s="1" t="s">
        <v>143</v>
      </c>
      <c r="H75" s="1" t="s">
        <v>144</v>
      </c>
      <c r="I75" s="4" t="n">
        <v>1</v>
      </c>
      <c r="J75" s="5" t="n">
        <v>0</v>
      </c>
      <c r="K75" s="6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n">
        <v>0</v>
      </c>
      <c r="S75" s="5" t="n">
        <v>0</v>
      </c>
      <c r="T75" s="5" t="n">
        <v>0</v>
      </c>
      <c r="U75" s="5" t="n">
        <v>0</v>
      </c>
      <c r="V75" s="4"/>
      <c r="W75" s="4"/>
      <c r="X75" s="5" t="n">
        <v>0</v>
      </c>
      <c r="Y75" s="5" t="n">
        <v>-63.77</v>
      </c>
    </row>
    <row r="76" customFormat="false" ht="12.8" hidden="false" customHeight="false" outlineLevel="0" collapsed="false">
      <c r="A76" s="3" t="n">
        <v>45985</v>
      </c>
      <c r="B76" s="1" t="s">
        <v>30</v>
      </c>
      <c r="C76" s="1" t="s">
        <v>150</v>
      </c>
      <c r="D76" s="3" t="n">
        <v>45977.013842592</v>
      </c>
      <c r="E76" s="1" t="s">
        <v>32</v>
      </c>
      <c r="F76" s="4" t="s">
        <v>151</v>
      </c>
      <c r="G76" s="1" t="s">
        <v>152</v>
      </c>
      <c r="H76" s="1" t="s">
        <v>153</v>
      </c>
      <c r="I76" s="4" t="n">
        <v>1</v>
      </c>
      <c r="J76" s="5" t="n">
        <v>27063</v>
      </c>
      <c r="K76" s="6" t="n">
        <v>0.41</v>
      </c>
      <c r="L76" s="5" t="n">
        <v>-11095.83</v>
      </c>
      <c r="M76" s="5" t="n">
        <v>0</v>
      </c>
      <c r="N76" s="5" t="n">
        <v>-30</v>
      </c>
      <c r="O76" s="5" t="n">
        <v>0</v>
      </c>
      <c r="P76" s="5" t="n">
        <v>-17.46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-323</v>
      </c>
      <c r="V76" s="4"/>
      <c r="W76" s="4"/>
      <c r="X76" s="5" t="n">
        <v>0</v>
      </c>
      <c r="Y76" s="5" t="n">
        <v>15596.71</v>
      </c>
    </row>
    <row r="77" customFormat="false" ht="12.8" hidden="false" customHeight="false" outlineLevel="0" collapsed="false">
      <c r="A77" s="3" t="n">
        <v>45985</v>
      </c>
      <c r="B77" s="1" t="s">
        <v>30</v>
      </c>
      <c r="C77" s="1" t="s">
        <v>154</v>
      </c>
      <c r="D77" s="3" t="n">
        <v>45979.590034722</v>
      </c>
      <c r="E77" s="1" t="s">
        <v>32</v>
      </c>
      <c r="F77" s="4" t="s">
        <v>155</v>
      </c>
      <c r="G77" s="1" t="s">
        <v>156</v>
      </c>
      <c r="H77" s="1" t="s">
        <v>157</v>
      </c>
      <c r="I77" s="4" t="n">
        <v>1</v>
      </c>
      <c r="J77" s="5" t="n">
        <v>1500</v>
      </c>
      <c r="K77" s="6" t="n">
        <v>0.41</v>
      </c>
      <c r="L77" s="5" t="n">
        <v>-615</v>
      </c>
      <c r="M77" s="5" t="n">
        <v>0</v>
      </c>
      <c r="N77" s="5" t="n">
        <v>-30</v>
      </c>
      <c r="O77" s="5" t="n">
        <v>0</v>
      </c>
      <c r="P77" s="5" t="n">
        <v>-6.81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-80</v>
      </c>
      <c r="V77" s="4"/>
      <c r="W77" s="4"/>
      <c r="X77" s="5" t="n">
        <v>0</v>
      </c>
      <c r="Y77" s="5" t="n">
        <v>768.19</v>
      </c>
    </row>
    <row r="78" customFormat="false" ht="12.8" hidden="false" customHeight="false" outlineLevel="0" collapsed="false">
      <c r="A78" s="3" t="n">
        <v>45985</v>
      </c>
      <c r="B78" s="1" t="s">
        <v>25</v>
      </c>
      <c r="C78" s="1" t="s">
        <v>154</v>
      </c>
      <c r="D78" s="3" t="n">
        <v>45979.590034722</v>
      </c>
      <c r="F78" s="4" t="s">
        <v>155</v>
      </c>
      <c r="G78" s="1" t="s">
        <v>156</v>
      </c>
      <c r="H78" s="1" t="s">
        <v>157</v>
      </c>
      <c r="I78" s="4" t="n">
        <v>1</v>
      </c>
      <c r="J78" s="5" t="n">
        <v>0</v>
      </c>
      <c r="K78" s="6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0</v>
      </c>
      <c r="V78" s="4"/>
      <c r="W78" s="4"/>
      <c r="X78" s="5" t="n">
        <v>0</v>
      </c>
      <c r="Y78" s="5" t="n">
        <v>-18.75</v>
      </c>
    </row>
    <row r="79" customFormat="false" ht="12.8" hidden="false" customHeight="false" outlineLevel="0" collapsed="false">
      <c r="A79" s="3" t="n">
        <v>45986</v>
      </c>
      <c r="B79" s="1" t="s">
        <v>25</v>
      </c>
      <c r="C79" s="1" t="s">
        <v>158</v>
      </c>
      <c r="D79" s="3" t="n">
        <v>45986.367974537</v>
      </c>
      <c r="F79" s="4" t="s">
        <v>155</v>
      </c>
      <c r="G79" s="1" t="s">
        <v>156</v>
      </c>
      <c r="H79" s="1" t="s">
        <v>157</v>
      </c>
      <c r="I79" s="4" t="n">
        <v>1</v>
      </c>
      <c r="J79" s="5" t="n">
        <v>0</v>
      </c>
      <c r="K79" s="6" t="n">
        <v>0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5" t="n">
        <v>0</v>
      </c>
      <c r="V79" s="4"/>
      <c r="W79" s="4"/>
      <c r="X79" s="5" t="n">
        <v>0</v>
      </c>
      <c r="Y79" s="5" t="n">
        <v>-8.15</v>
      </c>
    </row>
    <row r="80" customFormat="false" ht="12.8" hidden="false" customHeight="false" outlineLevel="0" collapsed="false">
      <c r="A80" s="3" t="n">
        <v>45987</v>
      </c>
      <c r="B80" s="1" t="s">
        <v>30</v>
      </c>
      <c r="C80" s="1" t="s">
        <v>159</v>
      </c>
      <c r="D80" s="3" t="n">
        <v>45982.649479166</v>
      </c>
      <c r="E80" s="1" t="s">
        <v>32</v>
      </c>
      <c r="F80" s="4" t="s">
        <v>155</v>
      </c>
      <c r="G80" s="1" t="s">
        <v>156</v>
      </c>
      <c r="H80" s="1" t="s">
        <v>157</v>
      </c>
      <c r="I80" s="4" t="n">
        <v>1</v>
      </c>
      <c r="J80" s="5" t="n">
        <v>1500</v>
      </c>
      <c r="K80" s="6" t="n">
        <v>0.41</v>
      </c>
      <c r="L80" s="5" t="n">
        <v>-615</v>
      </c>
      <c r="M80" s="5" t="n">
        <v>0</v>
      </c>
      <c r="N80" s="5" t="n">
        <v>-30</v>
      </c>
      <c r="O80" s="5" t="n">
        <v>0</v>
      </c>
      <c r="P80" s="5" t="n">
        <v>-11.44</v>
      </c>
      <c r="Q80" s="5" t="n">
        <v>0</v>
      </c>
      <c r="R80" s="5" t="n">
        <v>0</v>
      </c>
      <c r="S80" s="5" t="n">
        <v>0</v>
      </c>
      <c r="T80" s="5" t="n">
        <v>0</v>
      </c>
      <c r="U80" s="5" t="n">
        <v>-80</v>
      </c>
      <c r="V80" s="4"/>
      <c r="W80" s="4"/>
      <c r="X80" s="5" t="n">
        <v>0</v>
      </c>
      <c r="Y80" s="5" t="n">
        <v>763.56</v>
      </c>
    </row>
    <row r="81" customFormat="false" ht="12.8" hidden="false" customHeight="false" outlineLevel="0" collapsed="false">
      <c r="A81" s="3" t="n">
        <v>45987</v>
      </c>
      <c r="B81" s="1" t="s">
        <v>25</v>
      </c>
      <c r="C81" s="1" t="s">
        <v>159</v>
      </c>
      <c r="D81" s="3" t="n">
        <v>45982.649479166</v>
      </c>
      <c r="F81" s="4" t="s">
        <v>155</v>
      </c>
      <c r="G81" s="1" t="s">
        <v>156</v>
      </c>
      <c r="H81" s="1" t="s">
        <v>157</v>
      </c>
      <c r="I81" s="4" t="n">
        <v>1</v>
      </c>
      <c r="J81" s="5" t="n">
        <v>0</v>
      </c>
      <c r="K81" s="6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4"/>
      <c r="W81" s="4"/>
      <c r="X81" s="5" t="n">
        <v>0</v>
      </c>
      <c r="Y81" s="5" t="n">
        <v>-17.35</v>
      </c>
    </row>
    <row r="82" customFormat="false" ht="12.8" hidden="false" customHeight="false" outlineLevel="0" collapsed="false">
      <c r="A82" s="3" t="n">
        <v>45989</v>
      </c>
      <c r="B82" s="1" t="s">
        <v>25</v>
      </c>
      <c r="C82" s="1" t="s">
        <v>160</v>
      </c>
      <c r="D82" s="3" t="n">
        <v>45989.566030092</v>
      </c>
      <c r="F82" s="4" t="s">
        <v>155</v>
      </c>
      <c r="G82" s="1" t="s">
        <v>156</v>
      </c>
      <c r="H82" s="1" t="s">
        <v>157</v>
      </c>
      <c r="I82" s="4" t="n">
        <v>1</v>
      </c>
      <c r="J82" s="5" t="n">
        <v>0</v>
      </c>
      <c r="K82" s="6" t="n">
        <v>0</v>
      </c>
      <c r="L82" s="5" t="n">
        <v>0</v>
      </c>
      <c r="M82" s="5" t="n">
        <v>0</v>
      </c>
      <c r="N82" s="5" t="n">
        <v>0</v>
      </c>
      <c r="O82" s="5" t="n">
        <v>0</v>
      </c>
      <c r="P82" s="5" t="n">
        <v>0</v>
      </c>
      <c r="Q82" s="5" t="n">
        <v>0</v>
      </c>
      <c r="R82" s="5" t="n">
        <v>0</v>
      </c>
      <c r="S82" s="5" t="n">
        <v>0</v>
      </c>
      <c r="T82" s="5" t="n">
        <v>0</v>
      </c>
      <c r="U82" s="5" t="n">
        <v>0</v>
      </c>
      <c r="V82" s="4"/>
      <c r="W82" s="4"/>
      <c r="X82" s="5" t="n">
        <v>0</v>
      </c>
      <c r="Y82" s="5" t="n">
        <v>-17.15</v>
      </c>
    </row>
    <row r="83" customFormat="false" ht="12.8" hidden="false" customHeight="false" outlineLevel="0" collapsed="false">
      <c r="A83" s="3" t="n">
        <v>45989</v>
      </c>
      <c r="B83" s="1" t="s">
        <v>25</v>
      </c>
      <c r="C83" s="1" t="s">
        <v>161</v>
      </c>
      <c r="D83" s="3" t="n">
        <v>45989.801261574</v>
      </c>
      <c r="F83" s="4" t="s">
        <v>155</v>
      </c>
      <c r="G83" s="1" t="s">
        <v>156</v>
      </c>
      <c r="H83" s="1" t="s">
        <v>157</v>
      </c>
      <c r="I83" s="4" t="n">
        <v>1</v>
      </c>
      <c r="J83" s="5" t="n">
        <v>0</v>
      </c>
      <c r="K83" s="6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0</v>
      </c>
      <c r="V83" s="4"/>
      <c r="W83" s="4"/>
      <c r="X83" s="5" t="n">
        <v>0</v>
      </c>
      <c r="Y83" s="5" t="n">
        <v>-17.72</v>
      </c>
    </row>
    <row r="84" customFormat="false" ht="12.8" hidden="false" customHeight="false" outlineLevel="0" collapsed="false">
      <c r="A84" s="3" t="n">
        <v>45991</v>
      </c>
      <c r="B84" s="1" t="s">
        <v>43</v>
      </c>
      <c r="C84" s="1" t="s">
        <v>162</v>
      </c>
      <c r="D84" s="3" t="n">
        <v>45979.7921875</v>
      </c>
      <c r="E84" s="1" t="s">
        <v>32</v>
      </c>
      <c r="F84" s="4" t="s">
        <v>155</v>
      </c>
      <c r="G84" s="1" t="s">
        <v>156</v>
      </c>
      <c r="H84" s="1" t="s">
        <v>157</v>
      </c>
      <c r="I84" s="4" t="n">
        <v>1</v>
      </c>
      <c r="J84" s="5" t="n">
        <v>0</v>
      </c>
      <c r="K84" s="6" t="n">
        <v>0</v>
      </c>
      <c r="L84" s="5" t="n">
        <v>0</v>
      </c>
      <c r="M84" s="5" t="n">
        <v>0</v>
      </c>
      <c r="N84" s="5" t="n">
        <v>-30</v>
      </c>
      <c r="O84" s="5" t="n">
        <v>0</v>
      </c>
      <c r="P84" s="5" t="n">
        <v>-7.14</v>
      </c>
      <c r="Q84" s="5" t="n">
        <v>0</v>
      </c>
      <c r="R84" s="5" t="n">
        <v>0</v>
      </c>
      <c r="S84" s="5" t="n">
        <v>0</v>
      </c>
      <c r="T84" s="5" t="n">
        <v>0</v>
      </c>
      <c r="U84" s="5" t="n">
        <v>-80</v>
      </c>
      <c r="V84" s="4"/>
      <c r="W84" s="4"/>
      <c r="X84" s="5" t="n">
        <v>0</v>
      </c>
      <c r="Y84" s="5" t="n">
        <v>-117.14</v>
      </c>
    </row>
    <row r="85" customFormat="false" ht="12.8" hidden="false" customHeight="false" outlineLevel="0" collapsed="false">
      <c r="A85" s="3" t="n">
        <v>45991</v>
      </c>
      <c r="B85" s="1" t="s">
        <v>43</v>
      </c>
      <c r="C85" s="1" t="s">
        <v>162</v>
      </c>
      <c r="D85" s="3" t="n">
        <v>45979.7921875</v>
      </c>
      <c r="E85" s="1" t="s">
        <v>32</v>
      </c>
      <c r="F85" s="4" t="s">
        <v>155</v>
      </c>
      <c r="G85" s="1" t="s">
        <v>156</v>
      </c>
      <c r="H85" s="1" t="s">
        <v>157</v>
      </c>
      <c r="I85" s="4" t="n">
        <v>1</v>
      </c>
      <c r="J85" s="5" t="n">
        <v>0</v>
      </c>
      <c r="K85" s="6" t="n">
        <v>0</v>
      </c>
      <c r="L85" s="5" t="n">
        <v>0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-15</v>
      </c>
      <c r="S85" s="5" t="n">
        <v>0</v>
      </c>
      <c r="T85" s="5" t="n">
        <v>0</v>
      </c>
      <c r="U85" s="5" t="n">
        <v>0</v>
      </c>
      <c r="V85" s="4"/>
      <c r="W85" s="4"/>
      <c r="X85" s="5" t="n">
        <v>-46</v>
      </c>
      <c r="Y85" s="5" t="n">
        <v>-61</v>
      </c>
    </row>
    <row r="86" customFormat="false" ht="12.8" hidden="false" customHeight="false" outlineLevel="0" collapsed="false">
      <c r="A86" s="3" t="n">
        <v>45991</v>
      </c>
      <c r="B86" s="1" t="s">
        <v>30</v>
      </c>
      <c r="C86" s="1" t="s">
        <v>163</v>
      </c>
      <c r="D86" s="3" t="n">
        <v>45986.367974537</v>
      </c>
      <c r="E86" s="1" t="s">
        <v>32</v>
      </c>
      <c r="F86" s="4" t="s">
        <v>155</v>
      </c>
      <c r="G86" s="1" t="s">
        <v>156</v>
      </c>
      <c r="H86" s="1" t="s">
        <v>157</v>
      </c>
      <c r="I86" s="4" t="n">
        <v>1</v>
      </c>
      <c r="J86" s="5" t="n">
        <v>1500</v>
      </c>
      <c r="K86" s="6" t="n">
        <v>0.41</v>
      </c>
      <c r="L86" s="5" t="n">
        <v>-615</v>
      </c>
      <c r="M86" s="5" t="n">
        <v>0</v>
      </c>
      <c r="N86" s="5" t="n">
        <v>-30</v>
      </c>
      <c r="O86" s="5" t="n">
        <v>0</v>
      </c>
      <c r="P86" s="5" t="n">
        <v>-10.77</v>
      </c>
      <c r="Q86" s="5" t="n">
        <v>0</v>
      </c>
      <c r="R86" s="5" t="n">
        <v>0</v>
      </c>
      <c r="S86" s="5" t="n">
        <v>0</v>
      </c>
      <c r="T86" s="5" t="n">
        <v>0</v>
      </c>
      <c r="U86" s="5" t="n">
        <v>-80</v>
      </c>
      <c r="V86" s="4"/>
      <c r="W86" s="4"/>
      <c r="X86" s="5" t="n">
        <v>0</v>
      </c>
      <c r="Y86" s="5" t="n">
        <v>764.23</v>
      </c>
    </row>
    <row r="87" customFormat="false" ht="12.8" hidden="false" customHeight="false" outlineLevel="0" collapsed="false">
      <c r="A87" s="3" t="n">
        <v>45987</v>
      </c>
      <c r="B87" s="1" t="s">
        <v>25</v>
      </c>
      <c r="C87" s="1" t="s">
        <v>164</v>
      </c>
      <c r="D87" s="3" t="n">
        <v>45987.499629629</v>
      </c>
      <c r="F87" s="4" t="s">
        <v>165</v>
      </c>
      <c r="G87" s="1" t="s">
        <v>166</v>
      </c>
      <c r="H87" s="1" t="s">
        <v>167</v>
      </c>
      <c r="I87" s="4" t="n">
        <v>1</v>
      </c>
      <c r="J87" s="5" t="n">
        <v>0</v>
      </c>
      <c r="K87" s="6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5" t="n">
        <v>0</v>
      </c>
      <c r="V87" s="4"/>
      <c r="W87" s="4"/>
      <c r="X87" s="5" t="n">
        <v>0</v>
      </c>
      <c r="Y87" s="5" t="n">
        <v>-3.02</v>
      </c>
    </row>
    <row r="88" customFormat="false" ht="12.8" hidden="false" customHeight="false" outlineLevel="0" collapsed="false">
      <c r="A88" s="3" t="n">
        <v>45991</v>
      </c>
      <c r="B88" s="1" t="s">
        <v>30</v>
      </c>
      <c r="C88" s="1" t="s">
        <v>168</v>
      </c>
      <c r="D88" s="3" t="n">
        <v>45987.499629629</v>
      </c>
      <c r="E88" s="1" t="s">
        <v>32</v>
      </c>
      <c r="F88" s="4" t="s">
        <v>165</v>
      </c>
      <c r="G88" s="1" t="s">
        <v>166</v>
      </c>
      <c r="H88" s="1" t="s">
        <v>167</v>
      </c>
      <c r="I88" s="4" t="n">
        <v>1</v>
      </c>
      <c r="J88" s="5" t="n">
        <v>850</v>
      </c>
      <c r="K88" s="6" t="n">
        <v>0.41</v>
      </c>
      <c r="L88" s="5" t="n">
        <v>-348.5</v>
      </c>
      <c r="M88" s="5" t="n">
        <v>0</v>
      </c>
      <c r="N88" s="5" t="n">
        <v>-30</v>
      </c>
      <c r="O88" s="5" t="n">
        <v>0</v>
      </c>
      <c r="P88" s="5" t="n">
        <v>-4.72</v>
      </c>
      <c r="Q88" s="5" t="n">
        <v>0</v>
      </c>
      <c r="R88" s="5" t="n">
        <v>0</v>
      </c>
      <c r="S88" s="5" t="n">
        <v>0</v>
      </c>
      <c r="T88" s="5" t="n">
        <v>0</v>
      </c>
      <c r="U88" s="5" t="n">
        <v>-80</v>
      </c>
      <c r="V88" s="4"/>
      <c r="W88" s="4"/>
      <c r="X88" s="5" t="n">
        <v>0</v>
      </c>
      <c r="Y88" s="5" t="n">
        <v>386.78</v>
      </c>
    </row>
    <row r="89" customFormat="false" ht="12.8" hidden="false" customHeight="false" outlineLevel="0" collapsed="false">
      <c r="A89" s="3" t="n">
        <v>45985</v>
      </c>
      <c r="B89" s="1" t="s">
        <v>25</v>
      </c>
      <c r="C89" s="1" t="s">
        <v>169</v>
      </c>
      <c r="D89" s="3" t="n">
        <v>45985.405787037</v>
      </c>
      <c r="F89" s="4" t="s">
        <v>170</v>
      </c>
      <c r="G89" s="1" t="s">
        <v>171</v>
      </c>
      <c r="H89" s="1" t="s">
        <v>172</v>
      </c>
      <c r="I89" s="4" t="n">
        <v>1</v>
      </c>
      <c r="J89" s="5" t="n">
        <v>0</v>
      </c>
      <c r="K89" s="6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0</v>
      </c>
      <c r="S89" s="5" t="n">
        <v>0</v>
      </c>
      <c r="T89" s="5" t="n">
        <v>0</v>
      </c>
      <c r="U89" s="5" t="n">
        <v>0</v>
      </c>
      <c r="V89" s="4"/>
      <c r="W89" s="4"/>
      <c r="X89" s="5" t="n">
        <v>0</v>
      </c>
      <c r="Y89" s="5" t="n">
        <v>-5.24</v>
      </c>
    </row>
    <row r="90" customFormat="false" ht="12.8" hidden="false" customHeight="false" outlineLevel="0" collapsed="false">
      <c r="A90" s="3" t="n">
        <v>45987</v>
      </c>
      <c r="B90" s="1" t="s">
        <v>25</v>
      </c>
      <c r="C90" s="1" t="s">
        <v>173</v>
      </c>
      <c r="D90" s="3" t="n">
        <v>45987.017592592</v>
      </c>
      <c r="F90" s="4" t="s">
        <v>170</v>
      </c>
      <c r="G90" s="1" t="s">
        <v>171</v>
      </c>
      <c r="H90" s="1" t="s">
        <v>172</v>
      </c>
      <c r="I90" s="4" t="n">
        <v>1</v>
      </c>
      <c r="J90" s="5" t="n">
        <v>0</v>
      </c>
      <c r="K90" s="6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5" t="n">
        <v>0</v>
      </c>
      <c r="Q90" s="5" t="n">
        <v>0</v>
      </c>
      <c r="R90" s="5" t="n">
        <v>0</v>
      </c>
      <c r="S90" s="5" t="n">
        <v>0</v>
      </c>
      <c r="T90" s="5" t="n">
        <v>0</v>
      </c>
      <c r="U90" s="5" t="n">
        <v>0</v>
      </c>
      <c r="V90" s="4"/>
      <c r="W90" s="4"/>
      <c r="X90" s="5" t="n">
        <v>0</v>
      </c>
      <c r="Y90" s="5" t="n">
        <v>-6.05</v>
      </c>
    </row>
    <row r="91" customFormat="false" ht="12.8" hidden="false" customHeight="false" outlineLevel="0" collapsed="false">
      <c r="A91" s="3" t="n">
        <v>45988</v>
      </c>
      <c r="B91" s="1" t="s">
        <v>30</v>
      </c>
      <c r="C91" s="1" t="s">
        <v>174</v>
      </c>
      <c r="D91" s="3" t="n">
        <v>45985.405787037</v>
      </c>
      <c r="E91" s="1" t="s">
        <v>32</v>
      </c>
      <c r="F91" s="4" t="s">
        <v>170</v>
      </c>
      <c r="G91" s="1" t="s">
        <v>171</v>
      </c>
      <c r="H91" s="1" t="s">
        <v>172</v>
      </c>
      <c r="I91" s="4" t="n">
        <v>1</v>
      </c>
      <c r="J91" s="5" t="n">
        <v>500</v>
      </c>
      <c r="K91" s="6" t="n">
        <v>0.41</v>
      </c>
      <c r="L91" s="5" t="n">
        <v>-205</v>
      </c>
      <c r="M91" s="5" t="n">
        <v>0</v>
      </c>
      <c r="N91" s="5" t="n">
        <v>-30</v>
      </c>
      <c r="O91" s="5" t="n">
        <v>0</v>
      </c>
      <c r="P91" s="5" t="n">
        <v>-2.27</v>
      </c>
      <c r="Q91" s="5" t="n">
        <v>0</v>
      </c>
      <c r="R91" s="5" t="n">
        <v>0</v>
      </c>
      <c r="S91" s="5" t="n">
        <v>0</v>
      </c>
      <c r="T91" s="5" t="n">
        <v>0</v>
      </c>
      <c r="U91" s="5" t="n">
        <v>-80</v>
      </c>
      <c r="V91" s="4"/>
      <c r="W91" s="4"/>
      <c r="X91" s="5" t="n">
        <v>0</v>
      </c>
      <c r="Y91" s="5" t="n">
        <v>182.73</v>
      </c>
    </row>
    <row r="92" customFormat="false" ht="12.8" hidden="false" customHeight="false" outlineLevel="0" collapsed="false">
      <c r="A92" s="3" t="n">
        <v>45986</v>
      </c>
      <c r="B92" s="1" t="s">
        <v>25</v>
      </c>
      <c r="C92" s="1" t="s">
        <v>175</v>
      </c>
      <c r="D92" s="3" t="n">
        <v>45986.491006944</v>
      </c>
      <c r="F92" s="4" t="s">
        <v>176</v>
      </c>
      <c r="G92" s="1" t="s">
        <v>177</v>
      </c>
      <c r="H92" s="1" t="s">
        <v>178</v>
      </c>
      <c r="I92" s="4" t="n">
        <v>1</v>
      </c>
      <c r="J92" s="5" t="n">
        <v>0</v>
      </c>
      <c r="K92" s="6" t="n">
        <v>0</v>
      </c>
      <c r="L92" s="5" t="n">
        <v>0</v>
      </c>
      <c r="M92" s="5" t="n">
        <v>0</v>
      </c>
      <c r="N92" s="5" t="n">
        <v>0</v>
      </c>
      <c r="O92" s="5" t="n">
        <v>0</v>
      </c>
      <c r="P92" s="5" t="n">
        <v>0</v>
      </c>
      <c r="Q92" s="5" t="n">
        <v>0</v>
      </c>
      <c r="R92" s="5" t="n">
        <v>0</v>
      </c>
      <c r="S92" s="5" t="n">
        <v>0</v>
      </c>
      <c r="T92" s="5" t="n">
        <v>0</v>
      </c>
      <c r="U92" s="5" t="n">
        <v>0</v>
      </c>
      <c r="V92" s="4"/>
      <c r="W92" s="4"/>
      <c r="X92" s="5" t="n">
        <v>0</v>
      </c>
      <c r="Y92" s="5" t="n">
        <v>-2.33</v>
      </c>
    </row>
    <row r="93" customFormat="false" ht="12.8" hidden="false" customHeight="false" outlineLevel="0" collapsed="false">
      <c r="A93" s="3" t="n">
        <v>45986</v>
      </c>
      <c r="B93" s="1" t="s">
        <v>30</v>
      </c>
      <c r="C93" s="1" t="s">
        <v>179</v>
      </c>
      <c r="D93" s="3" t="n">
        <v>45966.310497685</v>
      </c>
      <c r="E93" s="1" t="s">
        <v>32</v>
      </c>
      <c r="F93" s="4" t="s">
        <v>176</v>
      </c>
      <c r="G93" s="1" t="s">
        <v>177</v>
      </c>
      <c r="H93" s="1" t="s">
        <v>178</v>
      </c>
      <c r="I93" s="4" t="n">
        <v>1</v>
      </c>
      <c r="J93" s="5" t="n">
        <v>570</v>
      </c>
      <c r="K93" s="6" t="n">
        <v>0.35</v>
      </c>
      <c r="L93" s="5" t="n">
        <v>-199.5</v>
      </c>
      <c r="M93" s="5" t="n">
        <v>0</v>
      </c>
      <c r="N93" s="5" t="n">
        <v>-30</v>
      </c>
      <c r="O93" s="5" t="n">
        <v>0</v>
      </c>
      <c r="P93" s="5" t="n">
        <v>-2.57</v>
      </c>
      <c r="Q93" s="5" t="n">
        <v>0</v>
      </c>
      <c r="R93" s="5" t="n">
        <v>0</v>
      </c>
      <c r="S93" s="5" t="n">
        <v>0</v>
      </c>
      <c r="T93" s="5" t="n">
        <v>0</v>
      </c>
      <c r="U93" s="5" t="n">
        <v>-80</v>
      </c>
      <c r="V93" s="4"/>
      <c r="W93" s="4"/>
      <c r="X93" s="5" t="n">
        <v>0</v>
      </c>
      <c r="Y93" s="5" t="n">
        <v>257.93</v>
      </c>
    </row>
    <row r="94" customFormat="false" ht="12.8" hidden="false" customHeight="false" outlineLevel="0" collapsed="false">
      <c r="A94" s="3" t="n">
        <v>45986</v>
      </c>
      <c r="B94" s="1" t="s">
        <v>25</v>
      </c>
      <c r="C94" s="1" t="s">
        <v>179</v>
      </c>
      <c r="D94" s="3" t="n">
        <v>45966.310497685</v>
      </c>
      <c r="F94" s="4" t="s">
        <v>176</v>
      </c>
      <c r="G94" s="1" t="s">
        <v>177</v>
      </c>
      <c r="H94" s="1" t="s">
        <v>178</v>
      </c>
      <c r="I94" s="4" t="n">
        <v>1</v>
      </c>
      <c r="J94" s="5" t="n">
        <v>0</v>
      </c>
      <c r="K94" s="6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4"/>
      <c r="W94" s="4"/>
      <c r="X94" s="5" t="n">
        <v>0</v>
      </c>
      <c r="Y94" s="5" t="n">
        <v>-6.27</v>
      </c>
    </row>
    <row r="95" customFormat="false" ht="12.8" hidden="false" customHeight="false" outlineLevel="0" collapsed="false">
      <c r="A95" s="3" t="n">
        <v>45988</v>
      </c>
      <c r="B95" s="1" t="s">
        <v>30</v>
      </c>
      <c r="C95" s="1" t="s">
        <v>180</v>
      </c>
      <c r="D95" s="3" t="n">
        <v>45979.873576388</v>
      </c>
      <c r="E95" s="1" t="s">
        <v>32</v>
      </c>
      <c r="F95" s="4" t="s">
        <v>176</v>
      </c>
      <c r="G95" s="1" t="s">
        <v>177</v>
      </c>
      <c r="H95" s="1" t="s">
        <v>178</v>
      </c>
      <c r="I95" s="4" t="n">
        <v>1</v>
      </c>
      <c r="J95" s="5" t="n">
        <v>800</v>
      </c>
      <c r="K95" s="6" t="n">
        <v>0.44</v>
      </c>
      <c r="L95" s="5" t="n">
        <v>-352</v>
      </c>
      <c r="M95" s="5" t="n">
        <v>0</v>
      </c>
      <c r="N95" s="5" t="n">
        <v>-30</v>
      </c>
      <c r="O95" s="5" t="n">
        <v>0</v>
      </c>
      <c r="P95" s="5" t="n">
        <v>-12.13</v>
      </c>
      <c r="Q95" s="5" t="n">
        <v>0</v>
      </c>
      <c r="R95" s="5" t="n">
        <v>0</v>
      </c>
      <c r="S95" s="5" t="n">
        <v>0</v>
      </c>
      <c r="T95" s="5" t="n">
        <v>0</v>
      </c>
      <c r="U95" s="5" t="n">
        <v>-80</v>
      </c>
      <c r="V95" s="4"/>
      <c r="W95" s="4"/>
      <c r="X95" s="5" t="n">
        <v>0</v>
      </c>
      <c r="Y95" s="5" t="n">
        <v>325.87</v>
      </c>
    </row>
    <row r="96" customFormat="false" ht="12.8" hidden="false" customHeight="false" outlineLevel="0" collapsed="false">
      <c r="A96" s="3" t="n">
        <v>45988</v>
      </c>
      <c r="B96" s="1" t="s">
        <v>25</v>
      </c>
      <c r="C96" s="1" t="s">
        <v>180</v>
      </c>
      <c r="D96" s="3" t="n">
        <v>45979.873576388</v>
      </c>
      <c r="F96" s="4" t="s">
        <v>176</v>
      </c>
      <c r="G96" s="1" t="s">
        <v>177</v>
      </c>
      <c r="H96" s="1" t="s">
        <v>178</v>
      </c>
      <c r="I96" s="4" t="n">
        <v>1</v>
      </c>
      <c r="J96" s="5" t="n">
        <v>0</v>
      </c>
      <c r="K96" s="6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0</v>
      </c>
      <c r="V96" s="4"/>
      <c r="W96" s="4"/>
      <c r="X96" s="5" t="n">
        <v>0</v>
      </c>
      <c r="Y96" s="5" t="n">
        <v>-2.27</v>
      </c>
    </row>
    <row r="97" customFormat="false" ht="12.8" hidden="false" customHeight="false" outlineLevel="0" collapsed="false">
      <c r="A97" s="3" t="n">
        <v>45990</v>
      </c>
      <c r="B97" s="1" t="s">
        <v>30</v>
      </c>
      <c r="C97" s="1" t="s">
        <v>181</v>
      </c>
      <c r="D97" s="3" t="n">
        <v>45986.491006944</v>
      </c>
      <c r="E97" s="1" t="s">
        <v>32</v>
      </c>
      <c r="F97" s="4" t="s">
        <v>176</v>
      </c>
      <c r="G97" s="1" t="s">
        <v>177</v>
      </c>
      <c r="H97" s="1" t="s">
        <v>178</v>
      </c>
      <c r="I97" s="4" t="n">
        <v>1</v>
      </c>
      <c r="J97" s="5" t="n">
        <v>800</v>
      </c>
      <c r="K97" s="6" t="n">
        <v>0.41</v>
      </c>
      <c r="L97" s="5" t="n">
        <v>-328</v>
      </c>
      <c r="M97" s="5" t="n">
        <v>0</v>
      </c>
      <c r="N97" s="5" t="n">
        <v>-30</v>
      </c>
      <c r="O97" s="5" t="n">
        <v>0</v>
      </c>
      <c r="P97" s="5" t="n">
        <v>-4.78</v>
      </c>
      <c r="Q97" s="5" t="n">
        <v>0</v>
      </c>
      <c r="R97" s="5" t="n">
        <v>0</v>
      </c>
      <c r="S97" s="5" t="n">
        <v>0</v>
      </c>
      <c r="T97" s="5" t="n">
        <v>0</v>
      </c>
      <c r="U97" s="5" t="n">
        <v>-80</v>
      </c>
      <c r="V97" s="4"/>
      <c r="W97" s="4"/>
      <c r="X97" s="5" t="n">
        <v>0</v>
      </c>
      <c r="Y97" s="5" t="n">
        <v>357.22</v>
      </c>
    </row>
    <row r="98" customFormat="false" ht="12.8" hidden="false" customHeight="false" outlineLevel="0" collapsed="false">
      <c r="A98" s="3" t="n">
        <v>45985</v>
      </c>
      <c r="B98" s="1" t="s">
        <v>25</v>
      </c>
      <c r="C98" s="1" t="s">
        <v>182</v>
      </c>
      <c r="D98" s="3" t="n">
        <v>45979.481793981</v>
      </c>
      <c r="F98" s="4" t="s">
        <v>183</v>
      </c>
      <c r="G98" s="1" t="s">
        <v>184</v>
      </c>
      <c r="H98" s="1" t="s">
        <v>185</v>
      </c>
      <c r="I98" s="4" t="n">
        <v>2</v>
      </c>
      <c r="J98" s="5" t="n">
        <v>0</v>
      </c>
      <c r="K98" s="6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0</v>
      </c>
      <c r="V98" s="4"/>
      <c r="W98" s="4"/>
      <c r="X98" s="5" t="n">
        <v>0</v>
      </c>
      <c r="Y98" s="5" t="n">
        <v>118.06</v>
      </c>
    </row>
    <row r="99" customFormat="false" ht="12.8" hidden="false" customHeight="false" outlineLevel="0" collapsed="false">
      <c r="A99" s="3" t="n">
        <v>45991</v>
      </c>
      <c r="B99" s="1" t="s">
        <v>43</v>
      </c>
      <c r="C99" s="1" t="s">
        <v>186</v>
      </c>
      <c r="D99" s="3" t="n">
        <v>45979.481793981</v>
      </c>
      <c r="E99" s="1" t="s">
        <v>32</v>
      </c>
      <c r="F99" s="4" t="s">
        <v>183</v>
      </c>
      <c r="G99" s="1" t="s">
        <v>184</v>
      </c>
      <c r="H99" s="1" t="s">
        <v>185</v>
      </c>
      <c r="I99" s="4" t="n">
        <v>2</v>
      </c>
      <c r="J99" s="5" t="n">
        <v>0</v>
      </c>
      <c r="K99" s="6" t="n">
        <v>0</v>
      </c>
      <c r="L99" s="5" t="n">
        <v>0</v>
      </c>
      <c r="M99" s="5" t="n">
        <v>0</v>
      </c>
      <c r="N99" s="5" t="n">
        <v>-30</v>
      </c>
      <c r="O99" s="5" t="n">
        <v>0</v>
      </c>
      <c r="P99" s="5" t="n">
        <v>-25.04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-160</v>
      </c>
      <c r="V99" s="4"/>
      <c r="W99" s="4"/>
      <c r="X99" s="5" t="n">
        <v>0</v>
      </c>
      <c r="Y99" s="5" t="n">
        <v>-215.04</v>
      </c>
    </row>
    <row r="100" customFormat="false" ht="12.8" hidden="false" customHeight="false" outlineLevel="0" collapsed="false">
      <c r="A100" s="3" t="n">
        <v>45991</v>
      </c>
      <c r="B100" s="1" t="s">
        <v>43</v>
      </c>
      <c r="C100" s="1" t="s">
        <v>186</v>
      </c>
      <c r="D100" s="3" t="n">
        <v>45979.481793981</v>
      </c>
      <c r="E100" s="1" t="s">
        <v>32</v>
      </c>
      <c r="F100" s="4" t="s">
        <v>183</v>
      </c>
      <c r="G100" s="1" t="s">
        <v>184</v>
      </c>
      <c r="H100" s="1" t="s">
        <v>185</v>
      </c>
      <c r="I100" s="4" t="n">
        <v>2</v>
      </c>
      <c r="J100" s="5" t="n">
        <v>0</v>
      </c>
      <c r="K100" s="6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0</v>
      </c>
      <c r="S100" s="5" t="n">
        <v>0</v>
      </c>
      <c r="T100" s="5" t="n">
        <v>0</v>
      </c>
      <c r="U100" s="5" t="n">
        <v>0</v>
      </c>
      <c r="V100" s="4"/>
      <c r="W100" s="4"/>
      <c r="X100" s="5" t="n">
        <v>-92</v>
      </c>
      <c r="Y100" s="5" t="n">
        <v>-92</v>
      </c>
    </row>
    <row r="101" customFormat="false" ht="12.8" hidden="false" customHeight="false" outlineLevel="0" collapsed="false">
      <c r="A101" s="3" t="n">
        <v>45985</v>
      </c>
      <c r="B101" s="1" t="s">
        <v>25</v>
      </c>
      <c r="C101" s="1" t="s">
        <v>187</v>
      </c>
      <c r="D101" s="3" t="n">
        <v>45985.261643518</v>
      </c>
      <c r="F101" s="4" t="s">
        <v>188</v>
      </c>
      <c r="G101" s="1" t="s">
        <v>189</v>
      </c>
      <c r="H101" s="1" t="s">
        <v>190</v>
      </c>
      <c r="I101" s="4" t="n">
        <v>1</v>
      </c>
      <c r="J101" s="5" t="n">
        <v>0</v>
      </c>
      <c r="K101" s="6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n">
        <v>0</v>
      </c>
      <c r="S101" s="5" t="n">
        <v>0</v>
      </c>
      <c r="T101" s="5" t="n">
        <v>0</v>
      </c>
      <c r="U101" s="5" t="n">
        <v>0</v>
      </c>
      <c r="V101" s="4"/>
      <c r="W101" s="4"/>
      <c r="X101" s="5" t="n">
        <v>0</v>
      </c>
      <c r="Y101" s="5" t="n">
        <v>-3.09</v>
      </c>
    </row>
    <row r="102" customFormat="false" ht="12.8" hidden="false" customHeight="false" outlineLevel="0" collapsed="false">
      <c r="A102" s="3" t="n">
        <v>45988</v>
      </c>
      <c r="B102" s="1" t="s">
        <v>25</v>
      </c>
      <c r="C102" s="1" t="s">
        <v>191</v>
      </c>
      <c r="D102" s="3" t="n">
        <v>45988.071817129</v>
      </c>
      <c r="F102" s="4" t="s">
        <v>188</v>
      </c>
      <c r="G102" s="1" t="s">
        <v>189</v>
      </c>
      <c r="H102" s="1" t="s">
        <v>190</v>
      </c>
      <c r="I102" s="4" t="n">
        <v>1</v>
      </c>
      <c r="J102" s="5" t="n">
        <v>0</v>
      </c>
      <c r="K102" s="6" t="n">
        <v>0</v>
      </c>
      <c r="L102" s="5" t="n">
        <v>0</v>
      </c>
      <c r="M102" s="5" t="n">
        <v>0</v>
      </c>
      <c r="N102" s="5" t="n">
        <v>0</v>
      </c>
      <c r="O102" s="5" t="n">
        <v>0</v>
      </c>
      <c r="P102" s="5" t="n">
        <v>0</v>
      </c>
      <c r="Q102" s="5" t="n">
        <v>0</v>
      </c>
      <c r="R102" s="5" t="n">
        <v>0</v>
      </c>
      <c r="S102" s="5" t="n">
        <v>0</v>
      </c>
      <c r="T102" s="5" t="n">
        <v>0</v>
      </c>
      <c r="U102" s="5" t="n">
        <v>0</v>
      </c>
      <c r="V102" s="4"/>
      <c r="W102" s="4"/>
      <c r="X102" s="5" t="n">
        <v>0</v>
      </c>
      <c r="Y102" s="5" t="n">
        <v>-9.54</v>
      </c>
    </row>
    <row r="103" customFormat="false" ht="12.8" hidden="false" customHeight="false" outlineLevel="0" collapsed="false">
      <c r="A103" s="3" t="n">
        <v>45988</v>
      </c>
      <c r="B103" s="1" t="s">
        <v>30</v>
      </c>
      <c r="C103" s="1" t="s">
        <v>192</v>
      </c>
      <c r="D103" s="3" t="n">
        <v>45986.592048611</v>
      </c>
      <c r="E103" s="1" t="s">
        <v>32</v>
      </c>
      <c r="F103" s="4" t="s">
        <v>188</v>
      </c>
      <c r="G103" s="1" t="s">
        <v>189</v>
      </c>
      <c r="H103" s="1" t="s">
        <v>190</v>
      </c>
      <c r="I103" s="4" t="n">
        <v>1</v>
      </c>
      <c r="J103" s="5" t="n">
        <v>800</v>
      </c>
      <c r="K103" s="6" t="n">
        <v>0.41</v>
      </c>
      <c r="L103" s="5" t="n">
        <v>-328</v>
      </c>
      <c r="M103" s="5" t="n">
        <v>0</v>
      </c>
      <c r="N103" s="5" t="n">
        <v>-30</v>
      </c>
      <c r="O103" s="5" t="n">
        <v>0</v>
      </c>
      <c r="P103" s="5" t="n">
        <v>0</v>
      </c>
      <c r="Q103" s="5" t="n">
        <v>0</v>
      </c>
      <c r="R103" s="5" t="n">
        <v>0</v>
      </c>
      <c r="S103" s="5" t="n">
        <v>0</v>
      </c>
      <c r="T103" s="5" t="n">
        <v>0</v>
      </c>
      <c r="U103" s="5" t="n">
        <v>-80</v>
      </c>
      <c r="V103" s="4"/>
      <c r="W103" s="4"/>
      <c r="X103" s="5" t="n">
        <v>0</v>
      </c>
      <c r="Y103" s="5" t="n">
        <v>362</v>
      </c>
    </row>
    <row r="104" customFormat="false" ht="12.8" hidden="false" customHeight="false" outlineLevel="0" collapsed="false">
      <c r="A104" s="3" t="n">
        <v>45988</v>
      </c>
      <c r="B104" s="1" t="s">
        <v>30</v>
      </c>
      <c r="C104" s="1" t="s">
        <v>193</v>
      </c>
      <c r="D104" s="3" t="n">
        <v>45986.582453703</v>
      </c>
      <c r="E104" s="1" t="s">
        <v>32</v>
      </c>
      <c r="F104" s="4" t="s">
        <v>188</v>
      </c>
      <c r="G104" s="1" t="s">
        <v>189</v>
      </c>
      <c r="H104" s="1" t="s">
        <v>190</v>
      </c>
      <c r="I104" s="4" t="n">
        <v>1</v>
      </c>
      <c r="J104" s="5" t="n">
        <v>800</v>
      </c>
      <c r="K104" s="6" t="n">
        <v>0.41</v>
      </c>
      <c r="L104" s="5" t="n">
        <v>-328</v>
      </c>
      <c r="M104" s="5" t="n">
        <v>0</v>
      </c>
      <c r="N104" s="5" t="n">
        <v>-30</v>
      </c>
      <c r="O104" s="5" t="n">
        <v>0</v>
      </c>
      <c r="P104" s="5" t="n">
        <v>-3.34</v>
      </c>
      <c r="Q104" s="5" t="n">
        <v>0</v>
      </c>
      <c r="R104" s="5" t="n">
        <v>0</v>
      </c>
      <c r="S104" s="5" t="n">
        <v>0</v>
      </c>
      <c r="T104" s="5" t="n">
        <v>0</v>
      </c>
      <c r="U104" s="5" t="n">
        <v>-80</v>
      </c>
      <c r="V104" s="4"/>
      <c r="W104" s="4"/>
      <c r="X104" s="5" t="n">
        <v>0</v>
      </c>
      <c r="Y104" s="5" t="n">
        <v>358.66</v>
      </c>
    </row>
    <row r="105" customFormat="false" ht="12.8" hidden="false" customHeight="false" outlineLevel="0" collapsed="false">
      <c r="A105" s="3" t="n">
        <v>45989</v>
      </c>
      <c r="B105" s="1" t="s">
        <v>25</v>
      </c>
      <c r="C105" s="1" t="s">
        <v>194</v>
      </c>
      <c r="D105" s="3" t="n">
        <v>45989.722824074</v>
      </c>
      <c r="F105" s="4" t="s">
        <v>188</v>
      </c>
      <c r="G105" s="1" t="s">
        <v>189</v>
      </c>
      <c r="H105" s="1" t="s">
        <v>190</v>
      </c>
      <c r="I105" s="4" t="n">
        <v>2</v>
      </c>
      <c r="J105" s="5" t="n">
        <v>0</v>
      </c>
      <c r="K105" s="6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n">
        <v>0</v>
      </c>
      <c r="S105" s="5" t="n">
        <v>0</v>
      </c>
      <c r="T105" s="5" t="n">
        <v>0</v>
      </c>
      <c r="U105" s="5" t="n">
        <v>0</v>
      </c>
      <c r="V105" s="4"/>
      <c r="W105" s="4"/>
      <c r="X105" s="5" t="n">
        <v>0</v>
      </c>
      <c r="Y105" s="5" t="n">
        <v>-17.28</v>
      </c>
    </row>
    <row r="106" customFormat="false" ht="12.8" hidden="false" customHeight="false" outlineLevel="0" collapsed="false">
      <c r="A106" s="3" t="n">
        <v>45989</v>
      </c>
      <c r="B106" s="1" t="s">
        <v>30</v>
      </c>
      <c r="C106" s="1" t="s">
        <v>195</v>
      </c>
      <c r="D106" s="3" t="n">
        <v>45985.611215277</v>
      </c>
      <c r="E106" s="1" t="s">
        <v>32</v>
      </c>
      <c r="F106" s="4" t="s">
        <v>188</v>
      </c>
      <c r="G106" s="1" t="s">
        <v>189</v>
      </c>
      <c r="H106" s="1" t="s">
        <v>190</v>
      </c>
      <c r="I106" s="4" t="n">
        <v>1</v>
      </c>
      <c r="J106" s="5" t="n">
        <v>800</v>
      </c>
      <c r="K106" s="6" t="n">
        <v>0.41</v>
      </c>
      <c r="L106" s="5" t="n">
        <v>-328</v>
      </c>
      <c r="M106" s="5" t="n">
        <v>0</v>
      </c>
      <c r="N106" s="5" t="n">
        <v>-10</v>
      </c>
      <c r="O106" s="5" t="n">
        <v>0</v>
      </c>
      <c r="P106" s="5" t="n">
        <v>0</v>
      </c>
      <c r="Q106" s="5" t="n">
        <v>0</v>
      </c>
      <c r="R106" s="5" t="n">
        <v>0</v>
      </c>
      <c r="S106" s="5" t="n">
        <v>0</v>
      </c>
      <c r="T106" s="5" t="n">
        <v>0</v>
      </c>
      <c r="U106" s="5" t="n">
        <v>-80</v>
      </c>
      <c r="V106" s="4"/>
      <c r="W106" s="4"/>
      <c r="X106" s="5" t="n">
        <v>0</v>
      </c>
      <c r="Y106" s="5" t="n">
        <v>382</v>
      </c>
    </row>
    <row r="107" customFormat="false" ht="12.8" hidden="false" customHeight="false" outlineLevel="0" collapsed="false">
      <c r="A107" s="3" t="n">
        <v>45991</v>
      </c>
      <c r="B107" s="1" t="s">
        <v>30</v>
      </c>
      <c r="C107" s="1" t="s">
        <v>196</v>
      </c>
      <c r="D107" s="3" t="n">
        <v>45988.071817129</v>
      </c>
      <c r="E107" s="1" t="s">
        <v>32</v>
      </c>
      <c r="F107" s="4" t="s">
        <v>188</v>
      </c>
      <c r="G107" s="1" t="s">
        <v>189</v>
      </c>
      <c r="H107" s="1" t="s">
        <v>190</v>
      </c>
      <c r="I107" s="4" t="n">
        <v>1</v>
      </c>
      <c r="J107" s="5" t="n">
        <v>800</v>
      </c>
      <c r="K107" s="6" t="n">
        <v>0.41</v>
      </c>
      <c r="L107" s="5" t="n">
        <v>-328</v>
      </c>
      <c r="M107" s="5" t="n">
        <v>0</v>
      </c>
      <c r="N107" s="5" t="n">
        <v>-30</v>
      </c>
      <c r="O107" s="5" t="n">
        <v>0</v>
      </c>
      <c r="P107" s="5" t="n">
        <v>-3.95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-80</v>
      </c>
      <c r="V107" s="4"/>
      <c r="W107" s="4"/>
      <c r="X107" s="5" t="n">
        <v>0</v>
      </c>
      <c r="Y107" s="5" t="n">
        <v>358.05</v>
      </c>
    </row>
    <row r="108" customFormat="false" ht="12.8" hidden="false" customHeight="false" outlineLevel="0" collapsed="false">
      <c r="A108" s="3" t="n">
        <v>45985</v>
      </c>
      <c r="B108" s="1" t="s">
        <v>30</v>
      </c>
      <c r="C108" s="1" t="s">
        <v>197</v>
      </c>
      <c r="D108" s="3" t="n">
        <v>45972.432476851</v>
      </c>
      <c r="E108" s="1" t="s">
        <v>117</v>
      </c>
      <c r="F108" s="4" t="s">
        <v>198</v>
      </c>
      <c r="G108" s="1" t="s">
        <v>199</v>
      </c>
      <c r="H108" s="1" t="s">
        <v>200</v>
      </c>
      <c r="I108" s="4" t="n">
        <v>1</v>
      </c>
      <c r="J108" s="5" t="n">
        <v>800</v>
      </c>
      <c r="K108" s="6" t="n">
        <v>0.37</v>
      </c>
      <c r="L108" s="5" t="n">
        <v>-296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>
        <v>0</v>
      </c>
      <c r="S108" s="5" t="n">
        <v>0</v>
      </c>
      <c r="T108" s="5" t="n">
        <v>0</v>
      </c>
      <c r="U108" s="5" t="n">
        <v>-46</v>
      </c>
      <c r="V108" s="4"/>
      <c r="W108" s="4"/>
      <c r="X108" s="5" t="n">
        <v>0</v>
      </c>
      <c r="Y108" s="5" t="n">
        <v>458</v>
      </c>
    </row>
    <row r="109" customFormat="false" ht="15.85" hidden="false" customHeight="true" outlineLevel="0" collapsed="false">
      <c r="A109" s="3" t="n">
        <v>45989</v>
      </c>
      <c r="B109" s="1" t="s">
        <v>25</v>
      </c>
      <c r="C109" s="1" t="s">
        <v>201</v>
      </c>
      <c r="D109" s="3" t="n">
        <v>45989.686273148</v>
      </c>
      <c r="F109" s="4" t="s">
        <v>202</v>
      </c>
      <c r="G109" s="1" t="s">
        <v>203</v>
      </c>
      <c r="H109" s="1" t="s">
        <v>204</v>
      </c>
      <c r="I109" s="4" t="n">
        <v>1</v>
      </c>
      <c r="J109" s="5" t="n">
        <v>0</v>
      </c>
      <c r="K109" s="6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0</v>
      </c>
      <c r="R109" s="5" t="n">
        <v>0</v>
      </c>
      <c r="S109" s="5" t="n">
        <v>0</v>
      </c>
      <c r="T109" s="5" t="n">
        <v>0</v>
      </c>
      <c r="U109" s="5" t="n">
        <v>0</v>
      </c>
      <c r="V109" s="4"/>
      <c r="W109" s="4"/>
      <c r="X109" s="5" t="n">
        <v>0</v>
      </c>
      <c r="Y109" s="5" t="n">
        <v>-7.02</v>
      </c>
    </row>
    <row r="110" customFormat="false" ht="12.8" hidden="false" customHeight="false" outlineLevel="0" collapsed="false">
      <c r="A110" s="3" t="n">
        <v>45990</v>
      </c>
      <c r="B110" s="1" t="s">
        <v>30</v>
      </c>
      <c r="C110" s="1" t="s">
        <v>205</v>
      </c>
      <c r="D110" s="3" t="n">
        <v>45982.863159722</v>
      </c>
      <c r="E110" s="1" t="s">
        <v>32</v>
      </c>
      <c r="F110" s="4" t="s">
        <v>202</v>
      </c>
      <c r="G110" s="1" t="s">
        <v>203</v>
      </c>
      <c r="H110" s="1" t="s">
        <v>204</v>
      </c>
      <c r="I110" s="4" t="n">
        <v>1</v>
      </c>
      <c r="J110" s="5" t="n">
        <v>993</v>
      </c>
      <c r="K110" s="6" t="n">
        <v>0.44</v>
      </c>
      <c r="L110" s="5" t="n">
        <v>-436.92</v>
      </c>
      <c r="M110" s="5" t="n">
        <v>0</v>
      </c>
      <c r="N110" s="5" t="n">
        <v>-30</v>
      </c>
      <c r="O110" s="5" t="n">
        <v>0</v>
      </c>
      <c r="P110" s="5" t="n">
        <v>-5.69</v>
      </c>
      <c r="Q110" s="5" t="n">
        <v>0</v>
      </c>
      <c r="R110" s="5" t="n">
        <v>0</v>
      </c>
      <c r="S110" s="5" t="n">
        <v>0</v>
      </c>
      <c r="T110" s="5" t="n">
        <v>0</v>
      </c>
      <c r="U110" s="5" t="n">
        <v>-80</v>
      </c>
      <c r="V110" s="4"/>
      <c r="W110" s="4"/>
      <c r="X110" s="5" t="n">
        <v>0</v>
      </c>
      <c r="Y110" s="5" t="n">
        <v>440.39</v>
      </c>
    </row>
    <row r="111" customFormat="false" ht="12.8" hidden="false" customHeight="false" outlineLevel="0" collapsed="false">
      <c r="A111" s="3" t="n">
        <v>45990</v>
      </c>
      <c r="B111" s="1" t="s">
        <v>25</v>
      </c>
      <c r="C111" s="1" t="s">
        <v>205</v>
      </c>
      <c r="D111" s="3" t="n">
        <v>45982.863159722</v>
      </c>
      <c r="F111" s="4" t="s">
        <v>202</v>
      </c>
      <c r="G111" s="1" t="s">
        <v>203</v>
      </c>
      <c r="H111" s="1" t="s">
        <v>204</v>
      </c>
      <c r="I111" s="4" t="n">
        <v>1</v>
      </c>
      <c r="J111" s="5" t="n">
        <v>0</v>
      </c>
      <c r="K111" s="6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4"/>
      <c r="W111" s="4"/>
      <c r="X111" s="5" t="n">
        <v>0</v>
      </c>
      <c r="Y111" s="5" t="n">
        <v>-11.18</v>
      </c>
    </row>
    <row r="112" customFormat="false" ht="12.8" hidden="false" customHeight="false" outlineLevel="0" collapsed="false">
      <c r="A112" s="3" t="n">
        <v>45990</v>
      </c>
      <c r="B112" s="1" t="s">
        <v>30</v>
      </c>
      <c r="C112" s="1" t="s">
        <v>206</v>
      </c>
      <c r="D112" s="3" t="n">
        <v>45989.686273148</v>
      </c>
      <c r="E112" s="1" t="s">
        <v>32</v>
      </c>
      <c r="F112" s="4" t="s">
        <v>202</v>
      </c>
      <c r="G112" s="1" t="s">
        <v>203</v>
      </c>
      <c r="H112" s="1" t="s">
        <v>204</v>
      </c>
      <c r="I112" s="4" t="n">
        <v>1</v>
      </c>
      <c r="J112" s="5" t="n">
        <v>1200</v>
      </c>
      <c r="K112" s="6" t="n">
        <v>0.41</v>
      </c>
      <c r="L112" s="5" t="n">
        <v>-492</v>
      </c>
      <c r="M112" s="5" t="n">
        <v>0</v>
      </c>
      <c r="N112" s="5" t="n">
        <v>-30</v>
      </c>
      <c r="O112" s="5" t="n">
        <v>0</v>
      </c>
      <c r="P112" s="5" t="n">
        <v>0</v>
      </c>
      <c r="Q112" s="5" t="n">
        <v>0</v>
      </c>
      <c r="R112" s="5" t="n">
        <v>0</v>
      </c>
      <c r="S112" s="5" t="n">
        <v>0</v>
      </c>
      <c r="T112" s="5" t="n">
        <v>0</v>
      </c>
      <c r="U112" s="5" t="n">
        <v>-80</v>
      </c>
      <c r="V112" s="4"/>
      <c r="W112" s="4"/>
      <c r="X112" s="5" t="n">
        <v>0</v>
      </c>
      <c r="Y112" s="5" t="n">
        <v>598</v>
      </c>
    </row>
    <row r="113" customFormat="false" ht="12.8" hidden="false" customHeight="false" outlineLevel="0" collapsed="false">
      <c r="A113" s="3" t="n">
        <v>45985</v>
      </c>
      <c r="B113" s="1" t="s">
        <v>30</v>
      </c>
      <c r="C113" s="1" t="s">
        <v>207</v>
      </c>
      <c r="D113" s="3" t="n">
        <v>45982.427175925</v>
      </c>
      <c r="E113" s="1" t="s">
        <v>32</v>
      </c>
      <c r="F113" s="4" t="s">
        <v>208</v>
      </c>
      <c r="G113" s="1" t="s">
        <v>209</v>
      </c>
      <c r="H113" s="1" t="s">
        <v>210</v>
      </c>
      <c r="I113" s="4" t="n">
        <v>1</v>
      </c>
      <c r="J113" s="5" t="n">
        <v>2100</v>
      </c>
      <c r="K113" s="6" t="n">
        <v>0.41</v>
      </c>
      <c r="L113" s="5" t="n">
        <v>-861</v>
      </c>
      <c r="M113" s="5" t="n">
        <v>0</v>
      </c>
      <c r="N113" s="5" t="n">
        <v>-30</v>
      </c>
      <c r="O113" s="5" t="n">
        <v>0</v>
      </c>
      <c r="P113" s="5" t="n">
        <v>-12.15</v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-80</v>
      </c>
      <c r="V113" s="4"/>
      <c r="W113" s="4"/>
      <c r="X113" s="5" t="n">
        <v>0</v>
      </c>
      <c r="Y113" s="5" t="n">
        <v>1116.85</v>
      </c>
    </row>
    <row r="114" customFormat="false" ht="12.8" hidden="false" customHeight="false" outlineLevel="0" collapsed="false">
      <c r="A114" s="3" t="n">
        <v>45986</v>
      </c>
      <c r="B114" s="1" t="s">
        <v>25</v>
      </c>
      <c r="C114" s="1" t="s">
        <v>211</v>
      </c>
      <c r="D114" s="3" t="n">
        <v>45986.646805555</v>
      </c>
      <c r="F114" s="4" t="s">
        <v>208</v>
      </c>
      <c r="G114" s="1" t="s">
        <v>209</v>
      </c>
      <c r="H114" s="1" t="s">
        <v>210</v>
      </c>
      <c r="I114" s="4" t="n">
        <v>2</v>
      </c>
      <c r="J114" s="5" t="n">
        <v>0</v>
      </c>
      <c r="K114" s="6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4"/>
      <c r="W114" s="4"/>
      <c r="X114" s="5" t="n">
        <v>0</v>
      </c>
      <c r="Y114" s="5" t="n">
        <v>-52.8</v>
      </c>
    </row>
    <row r="115" customFormat="false" ht="12.8" hidden="false" customHeight="false" outlineLevel="0" collapsed="false">
      <c r="A115" s="3" t="n">
        <v>45988</v>
      </c>
      <c r="B115" s="1" t="s">
        <v>25</v>
      </c>
      <c r="C115" s="1" t="s">
        <v>212</v>
      </c>
      <c r="D115" s="3" t="n">
        <v>45988.550578703</v>
      </c>
      <c r="F115" s="4" t="s">
        <v>208</v>
      </c>
      <c r="G115" s="1" t="s">
        <v>209</v>
      </c>
      <c r="H115" s="1" t="s">
        <v>210</v>
      </c>
      <c r="I115" s="4" t="n">
        <v>1</v>
      </c>
      <c r="J115" s="5" t="n">
        <v>0</v>
      </c>
      <c r="K115" s="6" t="n">
        <v>0</v>
      </c>
      <c r="L115" s="5" t="n">
        <v>0</v>
      </c>
      <c r="M115" s="5" t="n">
        <v>0</v>
      </c>
      <c r="N115" s="5" t="n">
        <v>0</v>
      </c>
      <c r="O115" s="5" t="n">
        <v>0</v>
      </c>
      <c r="P115" s="5" t="n">
        <v>0</v>
      </c>
      <c r="Q115" s="5" t="n">
        <v>0</v>
      </c>
      <c r="R115" s="5" t="n">
        <v>0</v>
      </c>
      <c r="S115" s="5" t="n">
        <v>0</v>
      </c>
      <c r="T115" s="5" t="n">
        <v>0</v>
      </c>
      <c r="U115" s="5" t="n">
        <v>0</v>
      </c>
      <c r="V115" s="4"/>
      <c r="W115" s="4"/>
      <c r="X115" s="5" t="n">
        <v>0</v>
      </c>
      <c r="Y115" s="5" t="n">
        <v>-26.4</v>
      </c>
    </row>
    <row r="116" customFormat="false" ht="12.8" hidden="false" customHeight="false" outlineLevel="0" collapsed="false">
      <c r="A116" s="3" t="n">
        <v>45990</v>
      </c>
      <c r="B116" s="1" t="s">
        <v>30</v>
      </c>
      <c r="C116" s="1" t="s">
        <v>213</v>
      </c>
      <c r="D116" s="3" t="n">
        <v>45986.417523148</v>
      </c>
      <c r="E116" s="1" t="s">
        <v>32</v>
      </c>
      <c r="F116" s="4" t="s">
        <v>208</v>
      </c>
      <c r="G116" s="1" t="s">
        <v>209</v>
      </c>
      <c r="H116" s="1" t="s">
        <v>210</v>
      </c>
      <c r="I116" s="4" t="n">
        <v>1</v>
      </c>
      <c r="J116" s="5" t="n">
        <v>2100</v>
      </c>
      <c r="K116" s="6" t="n">
        <v>0.41</v>
      </c>
      <c r="L116" s="5" t="n">
        <v>-861</v>
      </c>
      <c r="M116" s="5" t="n">
        <v>0</v>
      </c>
      <c r="N116" s="5" t="n">
        <v>-30</v>
      </c>
      <c r="O116" s="5" t="n">
        <v>0</v>
      </c>
      <c r="P116" s="5" t="n">
        <v>-10.35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-80</v>
      </c>
      <c r="V116" s="4"/>
      <c r="W116" s="4"/>
      <c r="X116" s="5" t="n">
        <v>0</v>
      </c>
      <c r="Y116" s="5" t="n">
        <v>1118.65</v>
      </c>
    </row>
    <row r="117" customFormat="false" ht="12.8" hidden="false" customHeight="false" outlineLevel="0" collapsed="false">
      <c r="A117" s="3" t="n">
        <v>45990</v>
      </c>
      <c r="B117" s="1" t="s">
        <v>25</v>
      </c>
      <c r="C117" s="1" t="s">
        <v>213</v>
      </c>
      <c r="D117" s="3" t="n">
        <v>45986.417523148</v>
      </c>
      <c r="F117" s="4" t="s">
        <v>208</v>
      </c>
      <c r="G117" s="1" t="s">
        <v>209</v>
      </c>
      <c r="H117" s="1" t="s">
        <v>210</v>
      </c>
      <c r="I117" s="4" t="n">
        <v>1</v>
      </c>
      <c r="J117" s="5" t="n">
        <v>0</v>
      </c>
      <c r="K117" s="6" t="n">
        <v>0</v>
      </c>
      <c r="L117" s="5" t="n">
        <v>0</v>
      </c>
      <c r="M117" s="5" t="n">
        <v>0</v>
      </c>
      <c r="N117" s="5" t="n">
        <v>0</v>
      </c>
      <c r="O117" s="5" t="n">
        <v>0</v>
      </c>
      <c r="P117" s="5" t="n">
        <v>0</v>
      </c>
      <c r="Q117" s="5" t="n">
        <v>0</v>
      </c>
      <c r="R117" s="5" t="n">
        <v>0</v>
      </c>
      <c r="S117" s="5" t="n">
        <v>0</v>
      </c>
      <c r="T117" s="5" t="n">
        <v>0</v>
      </c>
      <c r="U117" s="5" t="n">
        <v>0</v>
      </c>
      <c r="V117" s="4"/>
      <c r="W117" s="4"/>
      <c r="X117" s="5" t="n">
        <v>0</v>
      </c>
      <c r="Y117" s="5" t="n">
        <v>-26.28</v>
      </c>
    </row>
    <row r="118" customFormat="false" ht="12.8" hidden="false" customHeight="false" outlineLevel="0" collapsed="false">
      <c r="A118" s="3" t="n">
        <v>45987</v>
      </c>
      <c r="B118" s="1" t="s">
        <v>30</v>
      </c>
      <c r="C118" s="1" t="s">
        <v>214</v>
      </c>
      <c r="D118" s="3" t="n">
        <v>45977.397233796</v>
      </c>
      <c r="E118" s="1" t="s">
        <v>32</v>
      </c>
      <c r="F118" s="4" t="s">
        <v>215</v>
      </c>
      <c r="G118" s="1" t="s">
        <v>216</v>
      </c>
      <c r="H118" s="1" t="s">
        <v>217</v>
      </c>
      <c r="I118" s="4" t="n">
        <v>2</v>
      </c>
      <c r="J118" s="5" t="n">
        <v>900</v>
      </c>
      <c r="K118" s="6" t="n">
        <v>0.43</v>
      </c>
      <c r="L118" s="5" t="n">
        <v>-387</v>
      </c>
      <c r="M118" s="5" t="n">
        <v>0</v>
      </c>
      <c r="N118" s="5" t="n">
        <v>-30</v>
      </c>
      <c r="O118" s="5" t="n">
        <v>0</v>
      </c>
      <c r="P118" s="5" t="n">
        <v>-4.56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-160</v>
      </c>
      <c r="V118" s="4"/>
      <c r="W118" s="4"/>
      <c r="X118" s="5" t="n">
        <v>0</v>
      </c>
      <c r="Y118" s="5" t="n">
        <v>318.44</v>
      </c>
    </row>
    <row r="119" customFormat="false" ht="12.8" hidden="false" customHeight="false" outlineLevel="0" collapsed="false">
      <c r="A119" s="3" t="n">
        <v>45987</v>
      </c>
      <c r="B119" s="1" t="s">
        <v>25</v>
      </c>
      <c r="C119" s="1" t="s">
        <v>214</v>
      </c>
      <c r="D119" s="3" t="n">
        <v>45977.397233796</v>
      </c>
      <c r="F119" s="4" t="s">
        <v>215</v>
      </c>
      <c r="G119" s="1" t="s">
        <v>216</v>
      </c>
      <c r="H119" s="1" t="s">
        <v>217</v>
      </c>
      <c r="I119" s="4" t="n">
        <v>2</v>
      </c>
      <c r="J119" s="5" t="n">
        <v>0</v>
      </c>
      <c r="K119" s="6" t="n">
        <v>0</v>
      </c>
      <c r="L119" s="5" t="n">
        <v>0</v>
      </c>
      <c r="M119" s="5" t="n">
        <v>0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4"/>
      <c r="W119" s="4"/>
      <c r="X119" s="5" t="n">
        <v>0</v>
      </c>
      <c r="Y119" s="5" t="n">
        <v>-8.94</v>
      </c>
    </row>
    <row r="120" customFormat="false" ht="12.8" hidden="false" customHeight="false" outlineLevel="0" collapsed="false">
      <c r="A120" s="3" t="n">
        <v>45988</v>
      </c>
      <c r="B120" s="1" t="s">
        <v>25</v>
      </c>
      <c r="C120" s="1" t="s">
        <v>218</v>
      </c>
      <c r="D120" s="3" t="n">
        <v>45988.517962962</v>
      </c>
      <c r="F120" s="4" t="s">
        <v>215</v>
      </c>
      <c r="G120" s="1" t="s">
        <v>216</v>
      </c>
      <c r="H120" s="1" t="s">
        <v>217</v>
      </c>
      <c r="I120" s="4" t="n">
        <v>1</v>
      </c>
      <c r="J120" s="5" t="n">
        <v>0</v>
      </c>
      <c r="K120" s="6" t="n">
        <v>0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0</v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0</v>
      </c>
      <c r="V120" s="4"/>
      <c r="W120" s="4"/>
      <c r="X120" s="5" t="n">
        <v>0</v>
      </c>
      <c r="Y120" s="5" t="n">
        <v>-4.99</v>
      </c>
    </row>
    <row r="121" customFormat="false" ht="12.8" hidden="false" customHeight="false" outlineLevel="0" collapsed="false">
      <c r="A121" s="3" t="n">
        <v>45985</v>
      </c>
      <c r="B121" s="1" t="s">
        <v>30</v>
      </c>
      <c r="C121" s="1" t="s">
        <v>219</v>
      </c>
      <c r="D121" s="3" t="n">
        <v>45980.673078703</v>
      </c>
      <c r="E121" s="1" t="s">
        <v>32</v>
      </c>
      <c r="F121" s="4" t="s">
        <v>220</v>
      </c>
      <c r="G121" s="1" t="s">
        <v>221</v>
      </c>
      <c r="H121" s="1" t="s">
        <v>222</v>
      </c>
      <c r="I121" s="4" t="n">
        <v>1</v>
      </c>
      <c r="J121" s="5" t="n">
        <v>2500</v>
      </c>
      <c r="K121" s="6" t="n">
        <v>0.4</v>
      </c>
      <c r="L121" s="5" t="n">
        <v>-1000</v>
      </c>
      <c r="M121" s="5" t="n">
        <v>0</v>
      </c>
      <c r="N121" s="5" t="n">
        <v>-30</v>
      </c>
      <c r="O121" s="5" t="n">
        <v>0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0</v>
      </c>
      <c r="U121" s="5" t="n">
        <v>-80</v>
      </c>
      <c r="V121" s="4"/>
      <c r="W121" s="4"/>
      <c r="X121" s="5" t="n">
        <v>0</v>
      </c>
      <c r="Y121" s="5" t="n">
        <v>1390</v>
      </c>
    </row>
    <row r="122" customFormat="false" ht="12.8" hidden="false" customHeight="false" outlineLevel="0" collapsed="false">
      <c r="A122" s="3" t="n">
        <v>45986</v>
      </c>
      <c r="B122" s="1" t="s">
        <v>30</v>
      </c>
      <c r="C122" s="1" t="s">
        <v>223</v>
      </c>
      <c r="D122" s="3" t="n">
        <v>45978.760613425</v>
      </c>
      <c r="E122" s="1" t="s">
        <v>32</v>
      </c>
      <c r="F122" s="4" t="s">
        <v>220</v>
      </c>
      <c r="G122" s="1" t="s">
        <v>221</v>
      </c>
      <c r="H122" s="1" t="s">
        <v>222</v>
      </c>
      <c r="I122" s="4" t="n">
        <v>3</v>
      </c>
      <c r="J122" s="5" t="n">
        <v>7500</v>
      </c>
      <c r="K122" s="6" t="n">
        <v>0.43</v>
      </c>
      <c r="L122" s="5" t="n">
        <v>-3225</v>
      </c>
      <c r="M122" s="5" t="n">
        <v>0</v>
      </c>
      <c r="N122" s="5" t="n">
        <v>-30</v>
      </c>
      <c r="O122" s="5" t="n">
        <v>0</v>
      </c>
      <c r="P122" s="5" t="n">
        <v>0</v>
      </c>
      <c r="Q122" s="5" t="n">
        <v>0</v>
      </c>
      <c r="R122" s="5" t="n">
        <v>0</v>
      </c>
      <c r="S122" s="5" t="n">
        <v>0</v>
      </c>
      <c r="T122" s="5" t="n">
        <v>0</v>
      </c>
      <c r="U122" s="5" t="n">
        <v>-240</v>
      </c>
      <c r="V122" s="4"/>
      <c r="W122" s="4"/>
      <c r="X122" s="5" t="n">
        <v>0</v>
      </c>
      <c r="Y122" s="5" t="n">
        <v>4005</v>
      </c>
    </row>
    <row r="123" customFormat="false" ht="12.8" hidden="false" customHeight="false" outlineLevel="0" collapsed="false">
      <c r="A123" s="3" t="n">
        <v>45987</v>
      </c>
      <c r="B123" s="1" t="s">
        <v>25</v>
      </c>
      <c r="C123" s="1" t="s">
        <v>224</v>
      </c>
      <c r="D123" s="3" t="n">
        <v>45987.354849537</v>
      </c>
      <c r="F123" s="4" t="s">
        <v>225</v>
      </c>
      <c r="G123" s="1" t="s">
        <v>226</v>
      </c>
      <c r="H123" s="1" t="s">
        <v>227</v>
      </c>
      <c r="I123" s="4" t="n">
        <v>1</v>
      </c>
      <c r="J123" s="5" t="n">
        <v>0</v>
      </c>
      <c r="K123" s="6" t="n">
        <v>0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0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4"/>
      <c r="W123" s="4"/>
      <c r="X123" s="5" t="n">
        <v>0</v>
      </c>
      <c r="Y123" s="5" t="n">
        <v>-11.44</v>
      </c>
    </row>
    <row r="124" customFormat="false" ht="12.8" hidden="false" customHeight="false" outlineLevel="0" collapsed="false">
      <c r="A124" s="3" t="n">
        <v>45987</v>
      </c>
      <c r="B124" s="1" t="s">
        <v>30</v>
      </c>
      <c r="C124" s="1" t="s">
        <v>228</v>
      </c>
      <c r="D124" s="3" t="n">
        <v>45979.737789351</v>
      </c>
      <c r="E124" s="1" t="s">
        <v>32</v>
      </c>
      <c r="F124" s="4" t="s">
        <v>225</v>
      </c>
      <c r="G124" s="1" t="s">
        <v>226</v>
      </c>
      <c r="H124" s="1" t="s">
        <v>227</v>
      </c>
      <c r="I124" s="4" t="n">
        <v>1</v>
      </c>
      <c r="J124" s="5" t="n">
        <v>2800</v>
      </c>
      <c r="K124" s="6" t="n">
        <v>0.41</v>
      </c>
      <c r="L124" s="5" t="n">
        <v>-1148</v>
      </c>
      <c r="M124" s="5" t="n">
        <v>0</v>
      </c>
      <c r="N124" s="5" t="n">
        <v>-30</v>
      </c>
      <c r="O124" s="5" t="n">
        <v>0</v>
      </c>
      <c r="P124" s="5" t="n">
        <v>0</v>
      </c>
      <c r="Q124" s="5" t="n">
        <v>0</v>
      </c>
      <c r="R124" s="5" t="n">
        <v>0</v>
      </c>
      <c r="S124" s="5" t="n">
        <v>0</v>
      </c>
      <c r="T124" s="5" t="n">
        <v>0</v>
      </c>
      <c r="U124" s="5" t="n">
        <v>-98</v>
      </c>
      <c r="V124" s="4"/>
      <c r="W124" s="4"/>
      <c r="X124" s="5" t="n">
        <v>0</v>
      </c>
      <c r="Y124" s="5" t="n">
        <v>1524</v>
      </c>
    </row>
    <row r="125" customFormat="false" ht="12.8" hidden="false" customHeight="false" outlineLevel="0" collapsed="false">
      <c r="A125" s="3" t="n">
        <v>45988</v>
      </c>
      <c r="B125" s="1" t="s">
        <v>25</v>
      </c>
      <c r="C125" s="1" t="s">
        <v>229</v>
      </c>
      <c r="D125" s="3" t="n">
        <v>45988.446643518</v>
      </c>
      <c r="F125" s="4" t="s">
        <v>225</v>
      </c>
      <c r="G125" s="1" t="s">
        <v>226</v>
      </c>
      <c r="H125" s="1" t="s">
        <v>227</v>
      </c>
      <c r="I125" s="4" t="n">
        <v>2</v>
      </c>
      <c r="J125" s="5" t="n">
        <v>0</v>
      </c>
      <c r="K125" s="6" t="n">
        <v>0</v>
      </c>
      <c r="L125" s="5" t="n">
        <v>0</v>
      </c>
      <c r="M125" s="5" t="n">
        <v>0</v>
      </c>
      <c r="N125" s="5" t="n">
        <v>0</v>
      </c>
      <c r="O125" s="5" t="n">
        <v>0</v>
      </c>
      <c r="P125" s="5" t="n">
        <v>0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4"/>
      <c r="W125" s="4"/>
      <c r="X125" s="5" t="n">
        <v>0</v>
      </c>
      <c r="Y125" s="5" t="n">
        <v>-21.44</v>
      </c>
    </row>
    <row r="126" customFormat="false" ht="12.8" hidden="false" customHeight="false" outlineLevel="0" collapsed="false">
      <c r="A126" s="3" t="n">
        <v>45988</v>
      </c>
      <c r="B126" s="1" t="s">
        <v>30</v>
      </c>
      <c r="C126" s="1" t="s">
        <v>230</v>
      </c>
      <c r="D126" s="3" t="n">
        <v>45981.996643518</v>
      </c>
      <c r="E126" s="1" t="s">
        <v>32</v>
      </c>
      <c r="F126" s="4" t="s">
        <v>225</v>
      </c>
      <c r="G126" s="1" t="s">
        <v>226</v>
      </c>
      <c r="H126" s="1" t="s">
        <v>227</v>
      </c>
      <c r="I126" s="4" t="n">
        <v>1</v>
      </c>
      <c r="J126" s="5" t="n">
        <v>2800</v>
      </c>
      <c r="K126" s="6" t="n">
        <v>0.44</v>
      </c>
      <c r="L126" s="5" t="n">
        <v>-1232</v>
      </c>
      <c r="M126" s="5" t="n">
        <v>0</v>
      </c>
      <c r="N126" s="5" t="n">
        <v>-30</v>
      </c>
      <c r="O126" s="5" t="n">
        <v>0</v>
      </c>
      <c r="P126" s="5" t="n">
        <v>-12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-98</v>
      </c>
      <c r="V126" s="4"/>
      <c r="W126" s="4"/>
      <c r="X126" s="5" t="n">
        <v>0</v>
      </c>
      <c r="Y126" s="5" t="n">
        <v>1428</v>
      </c>
    </row>
    <row r="127" customFormat="false" ht="12.8" hidden="false" customHeight="false" outlineLevel="0" collapsed="false">
      <c r="A127" s="3" t="n">
        <v>45985</v>
      </c>
      <c r="B127" s="1" t="s">
        <v>30</v>
      </c>
      <c r="C127" s="1" t="s">
        <v>231</v>
      </c>
      <c r="D127" s="3" t="n">
        <v>45976.645266203</v>
      </c>
      <c r="E127" s="1" t="s">
        <v>117</v>
      </c>
      <c r="F127" s="4" t="s">
        <v>232</v>
      </c>
      <c r="G127" s="1" t="s">
        <v>233</v>
      </c>
      <c r="H127" s="1" t="s">
        <v>234</v>
      </c>
      <c r="I127" s="4" t="n">
        <v>1</v>
      </c>
      <c r="J127" s="5" t="n">
        <v>24500</v>
      </c>
      <c r="K127" s="6" t="n">
        <v>0.37</v>
      </c>
      <c r="L127" s="5" t="n">
        <v>-9065</v>
      </c>
      <c r="M127" s="5" t="n">
        <v>0</v>
      </c>
      <c r="N127" s="5" t="n">
        <v>0</v>
      </c>
      <c r="O127" s="5" t="n">
        <v>0</v>
      </c>
      <c r="P127" s="5" t="n">
        <v>0</v>
      </c>
      <c r="Q127" s="5" t="n">
        <v>0</v>
      </c>
      <c r="R127" s="5" t="n">
        <v>0</v>
      </c>
      <c r="S127" s="5" t="n">
        <v>0</v>
      </c>
      <c r="T127" s="5" t="n">
        <v>0</v>
      </c>
      <c r="U127" s="5" t="n">
        <v>-81</v>
      </c>
      <c r="V127" s="4"/>
      <c r="W127" s="4"/>
      <c r="X127" s="5" t="n">
        <v>0</v>
      </c>
      <c r="Y127" s="5" t="n">
        <v>15354</v>
      </c>
    </row>
    <row r="128" customFormat="false" ht="12.8" hidden="false" customHeight="false" outlineLevel="0" collapsed="false">
      <c r="A128" s="3" t="n">
        <v>45986</v>
      </c>
      <c r="B128" s="1" t="s">
        <v>25</v>
      </c>
      <c r="C128" s="1" t="s">
        <v>235</v>
      </c>
      <c r="D128" s="3" t="n">
        <v>45986.560810185</v>
      </c>
      <c r="F128" s="4" t="s">
        <v>236</v>
      </c>
      <c r="G128" s="1" t="s">
        <v>237</v>
      </c>
      <c r="H128" s="1" t="s">
        <v>238</v>
      </c>
      <c r="I128" s="4" t="n">
        <v>1</v>
      </c>
      <c r="J128" s="5" t="n">
        <v>0</v>
      </c>
      <c r="K128" s="6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0</v>
      </c>
      <c r="V128" s="4"/>
      <c r="W128" s="4"/>
      <c r="X128" s="5" t="n">
        <v>0</v>
      </c>
      <c r="Y128" s="5" t="n">
        <v>-20.05</v>
      </c>
    </row>
    <row r="129" customFormat="false" ht="12.8" hidden="false" customHeight="false" outlineLevel="0" collapsed="false">
      <c r="A129" s="3" t="n">
        <v>45986</v>
      </c>
      <c r="B129" s="1" t="s">
        <v>30</v>
      </c>
      <c r="C129" s="1" t="s">
        <v>239</v>
      </c>
      <c r="D129" s="3" t="n">
        <v>45980.667534722</v>
      </c>
      <c r="E129" s="1" t="s">
        <v>32</v>
      </c>
      <c r="F129" s="4" t="s">
        <v>236</v>
      </c>
      <c r="G129" s="1" t="s">
        <v>237</v>
      </c>
      <c r="H129" s="1" t="s">
        <v>238</v>
      </c>
      <c r="I129" s="4" t="n">
        <v>1</v>
      </c>
      <c r="J129" s="5" t="n">
        <v>1000</v>
      </c>
      <c r="K129" s="6" t="n">
        <v>0.41</v>
      </c>
      <c r="L129" s="5" t="n">
        <v>-410</v>
      </c>
      <c r="M129" s="5" t="n">
        <v>0</v>
      </c>
      <c r="N129" s="5" t="n">
        <v>-30</v>
      </c>
      <c r="O129" s="5" t="n">
        <v>0</v>
      </c>
      <c r="P129" s="5" t="n">
        <v>-4.62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-98</v>
      </c>
      <c r="V129" s="4"/>
      <c r="W129" s="4"/>
      <c r="X129" s="5" t="n">
        <v>0</v>
      </c>
      <c r="Y129" s="5" t="n">
        <v>457.38</v>
      </c>
    </row>
    <row r="130" customFormat="false" ht="12.8" hidden="false" customHeight="false" outlineLevel="0" collapsed="false">
      <c r="A130" s="3" t="n">
        <v>45986</v>
      </c>
      <c r="B130" s="1" t="s">
        <v>30</v>
      </c>
      <c r="C130" s="1" t="s">
        <v>240</v>
      </c>
      <c r="D130" s="3" t="n">
        <v>45980.66730324</v>
      </c>
      <c r="E130" s="1" t="s">
        <v>32</v>
      </c>
      <c r="F130" s="4" t="s">
        <v>236</v>
      </c>
      <c r="G130" s="1" t="s">
        <v>237</v>
      </c>
      <c r="H130" s="1" t="s">
        <v>238</v>
      </c>
      <c r="I130" s="4" t="n">
        <v>1</v>
      </c>
      <c r="J130" s="5" t="n">
        <v>1000</v>
      </c>
      <c r="K130" s="6" t="n">
        <v>0.41</v>
      </c>
      <c r="L130" s="5" t="n">
        <v>-410</v>
      </c>
      <c r="M130" s="5" t="n">
        <v>0</v>
      </c>
      <c r="N130" s="5" t="n">
        <v>-30</v>
      </c>
      <c r="O130" s="5" t="n">
        <v>0</v>
      </c>
      <c r="P130" s="5" t="n">
        <v>-4.62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-98</v>
      </c>
      <c r="V130" s="4"/>
      <c r="W130" s="4"/>
      <c r="X130" s="5" t="n">
        <v>0</v>
      </c>
      <c r="Y130" s="5" t="n">
        <v>457.38</v>
      </c>
    </row>
    <row r="131" customFormat="false" ht="12.8" hidden="false" customHeight="false" outlineLevel="0" collapsed="false">
      <c r="A131" s="3" t="n">
        <v>45986</v>
      </c>
      <c r="B131" s="1" t="s">
        <v>30</v>
      </c>
      <c r="C131" s="1" t="s">
        <v>241</v>
      </c>
      <c r="D131" s="3" t="n">
        <v>45982.118310185</v>
      </c>
      <c r="E131" s="1" t="s">
        <v>32</v>
      </c>
      <c r="F131" s="4" t="s">
        <v>236</v>
      </c>
      <c r="G131" s="1" t="s">
        <v>237</v>
      </c>
      <c r="H131" s="1" t="s">
        <v>238</v>
      </c>
      <c r="I131" s="4" t="n">
        <v>1</v>
      </c>
      <c r="J131" s="5" t="n">
        <v>1000</v>
      </c>
      <c r="K131" s="6" t="n">
        <v>0.41</v>
      </c>
      <c r="L131" s="5" t="n">
        <v>-410</v>
      </c>
      <c r="M131" s="5" t="n">
        <v>0</v>
      </c>
      <c r="N131" s="5" t="n">
        <v>-30</v>
      </c>
      <c r="O131" s="5" t="n">
        <v>0</v>
      </c>
      <c r="P131" s="5" t="n">
        <v>-4.58</v>
      </c>
      <c r="Q131" s="5" t="n">
        <v>0</v>
      </c>
      <c r="R131" s="5" t="n">
        <v>0</v>
      </c>
      <c r="S131" s="5" t="n">
        <v>0</v>
      </c>
      <c r="T131" s="5" t="n">
        <v>0</v>
      </c>
      <c r="U131" s="5" t="n">
        <v>-98</v>
      </c>
      <c r="V131" s="4"/>
      <c r="W131" s="4"/>
      <c r="X131" s="5" t="n">
        <v>0</v>
      </c>
      <c r="Y131" s="5" t="n">
        <v>457.42</v>
      </c>
    </row>
    <row r="132" customFormat="false" ht="12.8" hidden="false" customHeight="false" outlineLevel="0" collapsed="false">
      <c r="A132" s="3" t="n">
        <v>45988</v>
      </c>
      <c r="B132" s="1" t="s">
        <v>30</v>
      </c>
      <c r="C132" s="1" t="s">
        <v>242</v>
      </c>
      <c r="D132" s="3" t="n">
        <v>45982.238287037</v>
      </c>
      <c r="E132" s="1" t="s">
        <v>32</v>
      </c>
      <c r="F132" s="4" t="s">
        <v>236</v>
      </c>
      <c r="G132" s="1" t="s">
        <v>237</v>
      </c>
      <c r="H132" s="1" t="s">
        <v>238</v>
      </c>
      <c r="I132" s="4" t="n">
        <v>1</v>
      </c>
      <c r="J132" s="5" t="n">
        <v>1000</v>
      </c>
      <c r="K132" s="6" t="n">
        <v>0.41</v>
      </c>
      <c r="L132" s="5" t="n">
        <v>-410</v>
      </c>
      <c r="M132" s="5" t="n">
        <v>0</v>
      </c>
      <c r="N132" s="5" t="n">
        <v>-30</v>
      </c>
      <c r="O132" s="5" t="n">
        <v>0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-98</v>
      </c>
      <c r="V132" s="4"/>
      <c r="W132" s="4"/>
      <c r="X132" s="5" t="n">
        <v>0</v>
      </c>
      <c r="Y132" s="5" t="n">
        <v>462</v>
      </c>
    </row>
    <row r="133" customFormat="false" ht="12.8" hidden="false" customHeight="false" outlineLevel="0" collapsed="false">
      <c r="A133" s="3" t="n">
        <v>45985</v>
      </c>
      <c r="B133" s="1" t="s">
        <v>25</v>
      </c>
      <c r="C133" s="1" t="s">
        <v>243</v>
      </c>
      <c r="D133" s="3" t="n">
        <v>45985.437048611</v>
      </c>
      <c r="F133" s="4" t="s">
        <v>244</v>
      </c>
      <c r="G133" s="1" t="s">
        <v>245</v>
      </c>
      <c r="H133" s="1" t="s">
        <v>246</v>
      </c>
      <c r="I133" s="4" t="n">
        <v>2</v>
      </c>
      <c r="J133" s="5" t="n">
        <v>0</v>
      </c>
      <c r="K133" s="6" t="n">
        <v>0</v>
      </c>
      <c r="L133" s="5" t="n">
        <v>0</v>
      </c>
      <c r="M133" s="5" t="n">
        <v>0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4"/>
      <c r="W133" s="4"/>
      <c r="X133" s="5" t="n">
        <v>0</v>
      </c>
      <c r="Y133" s="5" t="n">
        <v>-12</v>
      </c>
    </row>
    <row r="134" customFormat="false" ht="12.8" hidden="false" customHeight="false" outlineLevel="0" collapsed="false">
      <c r="A134" s="3" t="n">
        <v>45988</v>
      </c>
      <c r="B134" s="1" t="s">
        <v>30</v>
      </c>
      <c r="C134" s="1" t="s">
        <v>247</v>
      </c>
      <c r="D134" s="3" t="n">
        <v>45982.656631944</v>
      </c>
      <c r="E134" s="1" t="s">
        <v>32</v>
      </c>
      <c r="F134" s="4" t="s">
        <v>244</v>
      </c>
      <c r="G134" s="1" t="s">
        <v>245</v>
      </c>
      <c r="H134" s="1" t="s">
        <v>246</v>
      </c>
      <c r="I134" s="4" t="n">
        <v>1</v>
      </c>
      <c r="J134" s="5" t="n">
        <v>1500</v>
      </c>
      <c r="K134" s="6" t="n">
        <v>0.41</v>
      </c>
      <c r="L134" s="5" t="n">
        <v>-615</v>
      </c>
      <c r="M134" s="5" t="n">
        <v>0</v>
      </c>
      <c r="N134" s="5" t="n">
        <v>-30</v>
      </c>
      <c r="O134" s="5" t="n">
        <v>0</v>
      </c>
      <c r="P134" s="5" t="n">
        <v>-14.3</v>
      </c>
      <c r="Q134" s="5" t="n">
        <v>0</v>
      </c>
      <c r="R134" s="5" t="n">
        <v>0</v>
      </c>
      <c r="S134" s="5" t="n">
        <v>0</v>
      </c>
      <c r="T134" s="5" t="n">
        <v>0</v>
      </c>
      <c r="U134" s="5" t="n">
        <v>-80</v>
      </c>
      <c r="V134" s="4"/>
      <c r="W134" s="4"/>
      <c r="X134" s="5" t="n">
        <v>0</v>
      </c>
      <c r="Y134" s="5" t="n">
        <v>760.7</v>
      </c>
    </row>
    <row r="135" customFormat="false" ht="12.8" hidden="false" customHeight="false" outlineLevel="0" collapsed="false">
      <c r="A135" s="3" t="n">
        <v>45988</v>
      </c>
      <c r="B135" s="1" t="s">
        <v>25</v>
      </c>
      <c r="C135" s="1" t="s">
        <v>247</v>
      </c>
      <c r="D135" s="3" t="n">
        <v>45982.656631944</v>
      </c>
      <c r="F135" s="4" t="s">
        <v>244</v>
      </c>
      <c r="G135" s="1" t="s">
        <v>245</v>
      </c>
      <c r="H135" s="1" t="s">
        <v>246</v>
      </c>
      <c r="I135" s="4" t="n">
        <v>1</v>
      </c>
      <c r="J135" s="5" t="n">
        <v>0</v>
      </c>
      <c r="K135" s="6" t="n">
        <v>0</v>
      </c>
      <c r="L135" s="5" t="n">
        <v>0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4"/>
      <c r="W135" s="4"/>
      <c r="X135" s="5" t="n">
        <v>0</v>
      </c>
      <c r="Y135" s="5" t="n">
        <v>-17.37</v>
      </c>
    </row>
    <row r="136" customFormat="false" ht="12.8" hidden="false" customHeight="false" outlineLevel="0" collapsed="false">
      <c r="A136" s="3" t="n">
        <v>45989</v>
      </c>
      <c r="B136" s="1" t="s">
        <v>30</v>
      </c>
      <c r="C136" s="1" t="s">
        <v>248</v>
      </c>
      <c r="D136" s="3" t="n">
        <v>45982.541956018</v>
      </c>
      <c r="E136" s="1" t="s">
        <v>32</v>
      </c>
      <c r="F136" s="4" t="s">
        <v>244</v>
      </c>
      <c r="G136" s="1" t="s">
        <v>245</v>
      </c>
      <c r="H136" s="1" t="s">
        <v>246</v>
      </c>
      <c r="I136" s="4" t="n">
        <v>1</v>
      </c>
      <c r="J136" s="5" t="n">
        <v>1500</v>
      </c>
      <c r="K136" s="6" t="n">
        <v>0.41</v>
      </c>
      <c r="L136" s="5" t="n">
        <v>-615</v>
      </c>
      <c r="M136" s="5" t="n">
        <v>0</v>
      </c>
      <c r="N136" s="5" t="n">
        <v>-30</v>
      </c>
      <c r="O136" s="5" t="n">
        <v>0</v>
      </c>
      <c r="P136" s="5" t="n">
        <v>-6.65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-80</v>
      </c>
      <c r="V136" s="4"/>
      <c r="W136" s="4"/>
      <c r="X136" s="5" t="n">
        <v>0</v>
      </c>
      <c r="Y136" s="5" t="n">
        <v>768.35</v>
      </c>
    </row>
    <row r="137" customFormat="false" ht="12.8" hidden="false" customHeight="false" outlineLevel="0" collapsed="false">
      <c r="A137" s="3" t="n">
        <v>45989</v>
      </c>
      <c r="B137" s="1" t="s">
        <v>25</v>
      </c>
      <c r="C137" s="1" t="s">
        <v>248</v>
      </c>
      <c r="D137" s="3" t="n">
        <v>45982.541956018</v>
      </c>
      <c r="F137" s="4" t="s">
        <v>244</v>
      </c>
      <c r="G137" s="1" t="s">
        <v>245</v>
      </c>
      <c r="H137" s="1" t="s">
        <v>246</v>
      </c>
      <c r="I137" s="4" t="n">
        <v>1</v>
      </c>
      <c r="J137" s="5" t="n">
        <v>0</v>
      </c>
      <c r="K137" s="6" t="n">
        <v>0</v>
      </c>
      <c r="L137" s="5" t="n">
        <v>0</v>
      </c>
      <c r="M137" s="5" t="n">
        <v>0</v>
      </c>
      <c r="N137" s="5" t="n">
        <v>0</v>
      </c>
      <c r="O137" s="5" t="n">
        <v>0</v>
      </c>
      <c r="P137" s="5" t="n">
        <v>0</v>
      </c>
      <c r="Q137" s="5" t="n">
        <v>0</v>
      </c>
      <c r="R137" s="5" t="n">
        <v>0</v>
      </c>
      <c r="S137" s="5" t="n">
        <v>0</v>
      </c>
      <c r="T137" s="5" t="n">
        <v>0</v>
      </c>
      <c r="U137" s="5" t="n">
        <v>0</v>
      </c>
      <c r="V137" s="4"/>
      <c r="W137" s="4"/>
      <c r="X137" s="5" t="n">
        <v>0</v>
      </c>
      <c r="Y137" s="5" t="n">
        <v>-17.35</v>
      </c>
    </row>
    <row r="138" customFormat="false" ht="12.8" hidden="false" customHeight="false" outlineLevel="0" collapsed="false">
      <c r="A138" s="3" t="n">
        <v>45990</v>
      </c>
      <c r="B138" s="1" t="s">
        <v>30</v>
      </c>
      <c r="C138" s="1" t="s">
        <v>249</v>
      </c>
      <c r="D138" s="3" t="n">
        <v>45985.437048611</v>
      </c>
      <c r="E138" s="1" t="s">
        <v>32</v>
      </c>
      <c r="F138" s="4" t="s">
        <v>244</v>
      </c>
      <c r="G138" s="1" t="s">
        <v>245</v>
      </c>
      <c r="H138" s="1" t="s">
        <v>246</v>
      </c>
      <c r="I138" s="4" t="n">
        <v>2</v>
      </c>
      <c r="J138" s="5" t="n">
        <v>3000</v>
      </c>
      <c r="K138" s="6" t="n">
        <v>0.41</v>
      </c>
      <c r="L138" s="5" t="n">
        <v>-1230</v>
      </c>
      <c r="M138" s="5" t="n">
        <v>0</v>
      </c>
      <c r="N138" s="5" t="n">
        <v>-30</v>
      </c>
      <c r="O138" s="5" t="n">
        <v>0</v>
      </c>
      <c r="P138" s="5" t="n">
        <v>-26.98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-160</v>
      </c>
      <c r="V138" s="4"/>
      <c r="W138" s="4"/>
      <c r="X138" s="5" t="n">
        <v>0</v>
      </c>
      <c r="Y138" s="5" t="n">
        <v>1553.02</v>
      </c>
    </row>
    <row r="139" customFormat="false" ht="12.8" hidden="false" customHeight="false" outlineLevel="0" collapsed="false">
      <c r="A139" s="3" t="n">
        <v>45989</v>
      </c>
      <c r="B139" s="1" t="s">
        <v>30</v>
      </c>
      <c r="C139" s="1" t="s">
        <v>250</v>
      </c>
      <c r="D139" s="3" t="n">
        <v>45985.588587962</v>
      </c>
      <c r="E139" s="1" t="s">
        <v>32</v>
      </c>
      <c r="F139" s="4" t="s">
        <v>251</v>
      </c>
      <c r="G139" s="1" t="s">
        <v>252</v>
      </c>
      <c r="H139" s="1" t="s">
        <v>253</v>
      </c>
      <c r="I139" s="4" t="n">
        <v>3</v>
      </c>
      <c r="J139" s="5" t="n">
        <v>1950</v>
      </c>
      <c r="K139" s="6" t="n">
        <v>0.41</v>
      </c>
      <c r="L139" s="5" t="n">
        <v>-799.5</v>
      </c>
      <c r="M139" s="5" t="n">
        <v>0</v>
      </c>
      <c r="N139" s="5" t="n">
        <v>-30</v>
      </c>
      <c r="O139" s="5" t="n">
        <v>0</v>
      </c>
      <c r="P139" s="5" t="n">
        <v>0</v>
      </c>
      <c r="Q139" s="5" t="n">
        <v>0</v>
      </c>
      <c r="R139" s="5" t="n">
        <v>0</v>
      </c>
      <c r="S139" s="5" t="n">
        <v>0</v>
      </c>
      <c r="T139" s="5" t="n">
        <v>0</v>
      </c>
      <c r="U139" s="5" t="n">
        <v>-240</v>
      </c>
      <c r="V139" s="4"/>
      <c r="W139" s="4"/>
      <c r="X139" s="5" t="n">
        <v>0</v>
      </c>
      <c r="Y139" s="5" t="n">
        <v>880.5</v>
      </c>
    </row>
    <row r="140" customFormat="false" ht="12.8" hidden="false" customHeight="false" outlineLevel="0" collapsed="false">
      <c r="A140" s="3" t="n">
        <v>45990</v>
      </c>
      <c r="B140" s="1" t="s">
        <v>30</v>
      </c>
      <c r="C140" s="1" t="s">
        <v>254</v>
      </c>
      <c r="D140" s="3" t="n">
        <v>45979.562349537</v>
      </c>
      <c r="E140" s="1" t="s">
        <v>32</v>
      </c>
      <c r="F140" s="4" t="s">
        <v>255</v>
      </c>
      <c r="G140" s="1" t="s">
        <v>256</v>
      </c>
      <c r="H140" s="1" t="s">
        <v>257</v>
      </c>
      <c r="I140" s="4" t="n">
        <v>1</v>
      </c>
      <c r="J140" s="5" t="n">
        <v>400</v>
      </c>
      <c r="K140" s="6" t="n">
        <v>0.41</v>
      </c>
      <c r="L140" s="5" t="n">
        <v>-164</v>
      </c>
      <c r="M140" s="5" t="n">
        <v>0</v>
      </c>
      <c r="N140" s="5" t="n">
        <v>-30</v>
      </c>
      <c r="O140" s="5" t="n">
        <v>0</v>
      </c>
      <c r="P140" s="5" t="n">
        <v>-2.16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-80</v>
      </c>
      <c r="V140" s="4"/>
      <c r="W140" s="4"/>
      <c r="X140" s="5" t="n">
        <v>0</v>
      </c>
      <c r="Y140" s="5" t="n">
        <v>123.84</v>
      </c>
    </row>
    <row r="141" customFormat="false" ht="12.8" hidden="false" customHeight="false" outlineLevel="0" collapsed="false">
      <c r="A141" s="3" t="n">
        <v>45991</v>
      </c>
      <c r="B141" s="1" t="s">
        <v>30</v>
      </c>
      <c r="C141" s="1" t="s">
        <v>258</v>
      </c>
      <c r="D141" s="3" t="n">
        <v>45982.868402777</v>
      </c>
      <c r="E141" s="1" t="s">
        <v>32</v>
      </c>
      <c r="F141" s="4" t="s">
        <v>255</v>
      </c>
      <c r="G141" s="1" t="s">
        <v>256</v>
      </c>
      <c r="H141" s="1" t="s">
        <v>257</v>
      </c>
      <c r="I141" s="4" t="n">
        <v>1</v>
      </c>
      <c r="J141" s="5" t="n">
        <v>400</v>
      </c>
      <c r="K141" s="6" t="n">
        <v>0.44</v>
      </c>
      <c r="L141" s="5" t="n">
        <v>-176</v>
      </c>
      <c r="M141" s="5" t="n">
        <v>0</v>
      </c>
      <c r="N141" s="5" t="n">
        <v>-30</v>
      </c>
      <c r="O141" s="5" t="n">
        <v>0</v>
      </c>
      <c r="P141" s="5" t="n">
        <v>-2.2</v>
      </c>
      <c r="Q141" s="5" t="n">
        <v>0</v>
      </c>
      <c r="R141" s="5" t="n">
        <v>0</v>
      </c>
      <c r="S141" s="5" t="n">
        <v>0</v>
      </c>
      <c r="T141" s="5" t="n">
        <v>0</v>
      </c>
      <c r="U141" s="5" t="n">
        <v>-80</v>
      </c>
      <c r="V141" s="4"/>
      <c r="W141" s="4"/>
      <c r="X141" s="5" t="n">
        <v>0</v>
      </c>
      <c r="Y141" s="5" t="n">
        <v>111.8</v>
      </c>
    </row>
    <row r="142" customFormat="false" ht="12.8" hidden="false" customHeight="false" outlineLevel="0" collapsed="false">
      <c r="A142" s="3" t="n">
        <v>45989</v>
      </c>
      <c r="B142" s="1" t="s">
        <v>30</v>
      </c>
      <c r="C142" s="1" t="s">
        <v>259</v>
      </c>
      <c r="D142" s="3" t="n">
        <v>45985.486273148</v>
      </c>
      <c r="E142" s="1" t="s">
        <v>32</v>
      </c>
      <c r="F142" s="4" t="s">
        <v>260</v>
      </c>
      <c r="G142" s="1" t="s">
        <v>261</v>
      </c>
      <c r="H142" s="1" t="s">
        <v>257</v>
      </c>
      <c r="I142" s="4" t="n">
        <v>3</v>
      </c>
      <c r="J142" s="5" t="n">
        <v>1200</v>
      </c>
      <c r="K142" s="6" t="n">
        <v>0.41</v>
      </c>
      <c r="L142" s="5" t="n">
        <v>-492</v>
      </c>
      <c r="M142" s="5" t="n">
        <v>0</v>
      </c>
      <c r="N142" s="5" t="n">
        <v>-30</v>
      </c>
      <c r="O142" s="5" t="n">
        <v>0</v>
      </c>
      <c r="P142" s="5" t="n">
        <v>-6.3</v>
      </c>
      <c r="Q142" s="5" t="n">
        <v>0</v>
      </c>
      <c r="R142" s="5" t="n">
        <v>0</v>
      </c>
      <c r="S142" s="5" t="n">
        <v>0</v>
      </c>
      <c r="T142" s="5" t="n">
        <v>0</v>
      </c>
      <c r="U142" s="5" t="n">
        <v>-240</v>
      </c>
      <c r="V142" s="4"/>
      <c r="W142" s="4"/>
      <c r="X142" s="5" t="n">
        <v>0</v>
      </c>
      <c r="Y142" s="5" t="n">
        <v>431.7</v>
      </c>
    </row>
    <row r="143" customFormat="false" ht="12.8" hidden="false" customHeight="false" outlineLevel="0" collapsed="false">
      <c r="A143" s="3" t="n">
        <v>45989</v>
      </c>
      <c r="B143" s="1" t="s">
        <v>25</v>
      </c>
      <c r="C143" s="1" t="s">
        <v>259</v>
      </c>
      <c r="D143" s="3" t="n">
        <v>45985.486273148</v>
      </c>
      <c r="F143" s="4" t="s">
        <v>260</v>
      </c>
      <c r="G143" s="1" t="s">
        <v>261</v>
      </c>
      <c r="H143" s="1" t="s">
        <v>257</v>
      </c>
      <c r="I143" s="4" t="n">
        <v>3</v>
      </c>
      <c r="J143" s="5" t="n">
        <v>0</v>
      </c>
      <c r="K143" s="6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4"/>
      <c r="W143" s="4"/>
      <c r="X143" s="5" t="n">
        <v>0</v>
      </c>
      <c r="Y143" s="5" t="n">
        <v>-13.14</v>
      </c>
    </row>
    <row r="144" customFormat="false" ht="12.8" hidden="false" customHeight="false" outlineLevel="0" collapsed="false">
      <c r="A144" s="3" t="n">
        <v>45990</v>
      </c>
      <c r="B144" s="1" t="s">
        <v>25</v>
      </c>
      <c r="C144" s="1" t="s">
        <v>262</v>
      </c>
      <c r="D144" s="3" t="n">
        <v>45990.734606481</v>
      </c>
      <c r="F144" s="4" t="s">
        <v>260</v>
      </c>
      <c r="G144" s="1" t="s">
        <v>261</v>
      </c>
      <c r="H144" s="1" t="s">
        <v>257</v>
      </c>
      <c r="I144" s="4" t="n">
        <v>1</v>
      </c>
      <c r="J144" s="5" t="n">
        <v>0</v>
      </c>
      <c r="K144" s="6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0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0</v>
      </c>
      <c r="V144" s="4"/>
      <c r="W144" s="4"/>
      <c r="X144" s="5" t="n">
        <v>0</v>
      </c>
      <c r="Y144" s="5" t="n">
        <v>-4.46</v>
      </c>
    </row>
    <row r="145" customFormat="false" ht="12.8" hidden="false" customHeight="false" outlineLevel="0" collapsed="false">
      <c r="A145" s="3" t="n">
        <v>45988</v>
      </c>
      <c r="B145" s="1" t="s">
        <v>30</v>
      </c>
      <c r="C145" s="1" t="s">
        <v>263</v>
      </c>
      <c r="D145" s="3" t="n">
        <v>45979.848518518</v>
      </c>
      <c r="E145" s="1" t="s">
        <v>32</v>
      </c>
      <c r="F145" s="4" t="s">
        <v>264</v>
      </c>
      <c r="G145" s="1" t="s">
        <v>265</v>
      </c>
      <c r="H145" s="1" t="s">
        <v>266</v>
      </c>
      <c r="I145" s="4" t="n">
        <v>1</v>
      </c>
      <c r="J145" s="5" t="n">
        <v>2748</v>
      </c>
      <c r="K145" s="6" t="n">
        <v>0.44</v>
      </c>
      <c r="L145" s="5" t="n">
        <v>-1209.12</v>
      </c>
      <c r="M145" s="5" t="n">
        <v>0</v>
      </c>
      <c r="N145" s="5" t="n">
        <v>-30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-80</v>
      </c>
      <c r="V145" s="4"/>
      <c r="W145" s="4"/>
      <c r="X145" s="5" t="n">
        <v>0</v>
      </c>
      <c r="Y145" s="5" t="n">
        <v>1428.88</v>
      </c>
    </row>
    <row r="146" customFormat="false" ht="12.8" hidden="false" customHeight="false" outlineLevel="0" collapsed="false">
      <c r="A146" s="3" t="n">
        <v>45985</v>
      </c>
      <c r="B146" s="1" t="s">
        <v>30</v>
      </c>
      <c r="C146" s="1" t="s">
        <v>267</v>
      </c>
      <c r="D146" s="3" t="n">
        <v>45976.38875</v>
      </c>
      <c r="E146" s="1" t="s">
        <v>32</v>
      </c>
      <c r="F146" s="4" t="s">
        <v>268</v>
      </c>
      <c r="G146" s="1" t="s">
        <v>269</v>
      </c>
      <c r="H146" s="1" t="s">
        <v>270</v>
      </c>
      <c r="I146" s="4" t="n">
        <v>1</v>
      </c>
      <c r="J146" s="5" t="n">
        <v>14500</v>
      </c>
      <c r="K146" s="6" t="n">
        <v>0.44</v>
      </c>
      <c r="L146" s="5" t="n">
        <v>-6380</v>
      </c>
      <c r="M146" s="5" t="n">
        <v>0</v>
      </c>
      <c r="N146" s="5" t="n">
        <v>-30</v>
      </c>
      <c r="O146" s="5" t="n">
        <v>0</v>
      </c>
      <c r="P146" s="5" t="n">
        <v>0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-461</v>
      </c>
      <c r="V146" s="4"/>
      <c r="W146" s="4"/>
      <c r="X146" s="5" t="n">
        <v>0</v>
      </c>
      <c r="Y146" s="5" t="n">
        <v>7629</v>
      </c>
    </row>
    <row r="147" customFormat="false" ht="12.8" hidden="false" customHeight="false" outlineLevel="0" collapsed="false">
      <c r="A147" s="3" t="n">
        <v>45985</v>
      </c>
      <c r="B147" s="1" t="s">
        <v>25</v>
      </c>
      <c r="C147" s="1" t="s">
        <v>267</v>
      </c>
      <c r="D147" s="3" t="n">
        <v>45976.38875</v>
      </c>
      <c r="F147" s="4" t="s">
        <v>268</v>
      </c>
      <c r="G147" s="1" t="s">
        <v>269</v>
      </c>
      <c r="H147" s="1" t="s">
        <v>270</v>
      </c>
      <c r="I147" s="4" t="n">
        <v>1</v>
      </c>
      <c r="J147" s="5" t="n">
        <v>0</v>
      </c>
      <c r="K147" s="6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0</v>
      </c>
      <c r="Q147" s="5" t="n">
        <v>0</v>
      </c>
      <c r="R147" s="5" t="n">
        <v>0</v>
      </c>
      <c r="S147" s="5" t="n">
        <v>0</v>
      </c>
      <c r="T147" s="5" t="n">
        <v>0</v>
      </c>
      <c r="U147" s="5" t="n">
        <v>0</v>
      </c>
      <c r="V147" s="4"/>
      <c r="W147" s="4"/>
      <c r="X147" s="5" t="n">
        <v>0</v>
      </c>
      <c r="Y147" s="5" t="n">
        <v>-174.48</v>
      </c>
    </row>
    <row r="148" customFormat="false" ht="12.8" hidden="false" customHeight="false" outlineLevel="0" collapsed="false">
      <c r="A148" s="3" t="n">
        <v>45987</v>
      </c>
      <c r="B148" s="1" t="s">
        <v>30</v>
      </c>
      <c r="C148" s="1" t="s">
        <v>271</v>
      </c>
      <c r="D148" s="3" t="n">
        <v>45981.64542824</v>
      </c>
      <c r="E148" s="1" t="s">
        <v>32</v>
      </c>
      <c r="F148" s="4" t="s">
        <v>268</v>
      </c>
      <c r="G148" s="1" t="s">
        <v>269</v>
      </c>
      <c r="H148" s="1" t="s">
        <v>270</v>
      </c>
      <c r="I148" s="4" t="n">
        <v>1</v>
      </c>
      <c r="J148" s="5" t="n">
        <v>15500</v>
      </c>
      <c r="K148" s="6" t="n">
        <v>0.41</v>
      </c>
      <c r="L148" s="5" t="n">
        <v>-6355</v>
      </c>
      <c r="M148" s="5" t="n">
        <v>0</v>
      </c>
      <c r="N148" s="5" t="n">
        <v>-30</v>
      </c>
      <c r="O148" s="5" t="n">
        <v>0</v>
      </c>
      <c r="P148" s="5" t="n">
        <v>-14.07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-461</v>
      </c>
      <c r="V148" s="4"/>
      <c r="W148" s="4"/>
      <c r="X148" s="5" t="n">
        <v>0</v>
      </c>
      <c r="Y148" s="5" t="n">
        <v>8639.93</v>
      </c>
    </row>
    <row r="149" customFormat="false" ht="12.8" hidden="false" customHeight="false" outlineLevel="0" collapsed="false">
      <c r="A149" s="3" t="n">
        <v>45987</v>
      </c>
      <c r="B149" s="1" t="s">
        <v>25</v>
      </c>
      <c r="C149" s="1" t="s">
        <v>271</v>
      </c>
      <c r="D149" s="3" t="n">
        <v>45981.64542824</v>
      </c>
      <c r="F149" s="4" t="s">
        <v>268</v>
      </c>
      <c r="G149" s="1" t="s">
        <v>269</v>
      </c>
      <c r="H149" s="1" t="s">
        <v>270</v>
      </c>
      <c r="I149" s="4" t="n">
        <v>1</v>
      </c>
      <c r="J149" s="5" t="n">
        <v>0</v>
      </c>
      <c r="K149" s="6" t="n">
        <v>0</v>
      </c>
      <c r="L149" s="5" t="n">
        <v>0</v>
      </c>
      <c r="M149" s="5" t="n">
        <v>0</v>
      </c>
      <c r="N149" s="5" t="n">
        <v>0</v>
      </c>
      <c r="O149" s="5" t="n">
        <v>0</v>
      </c>
      <c r="P149" s="5" t="n">
        <v>0</v>
      </c>
      <c r="Q149" s="5" t="n">
        <v>0</v>
      </c>
      <c r="R149" s="5" t="n">
        <v>0</v>
      </c>
      <c r="S149" s="5" t="n">
        <v>0</v>
      </c>
      <c r="T149" s="5" t="n">
        <v>0</v>
      </c>
      <c r="U149" s="5" t="n">
        <v>0</v>
      </c>
      <c r="V149" s="4"/>
      <c r="W149" s="4"/>
      <c r="X149" s="5" t="n">
        <v>0</v>
      </c>
      <c r="Y149" s="5" t="n">
        <v>-193.15</v>
      </c>
    </row>
    <row r="150" customFormat="false" ht="12.8" hidden="false" customHeight="false" outlineLevel="0" collapsed="false">
      <c r="A150" s="3" t="n">
        <v>45988</v>
      </c>
      <c r="B150" s="1" t="s">
        <v>25</v>
      </c>
      <c r="C150" s="1" t="s">
        <v>272</v>
      </c>
      <c r="D150" s="3" t="n">
        <v>45988.03574074</v>
      </c>
      <c r="F150" s="4" t="s">
        <v>273</v>
      </c>
      <c r="G150" s="1" t="s">
        <v>274</v>
      </c>
      <c r="H150" s="1" t="s">
        <v>275</v>
      </c>
      <c r="I150" s="4" t="n">
        <v>2</v>
      </c>
      <c r="J150" s="5" t="n">
        <v>0</v>
      </c>
      <c r="K150" s="6" t="n">
        <v>0</v>
      </c>
      <c r="L150" s="5" t="n">
        <v>0</v>
      </c>
      <c r="M150" s="5" t="n">
        <v>0</v>
      </c>
      <c r="N150" s="5" t="n">
        <v>0</v>
      </c>
      <c r="O150" s="5" t="n">
        <v>0</v>
      </c>
      <c r="P150" s="5" t="n">
        <v>0</v>
      </c>
      <c r="Q150" s="5" t="n">
        <v>0</v>
      </c>
      <c r="R150" s="5" t="n">
        <v>0</v>
      </c>
      <c r="S150" s="5" t="n">
        <v>0</v>
      </c>
      <c r="T150" s="5" t="n">
        <v>0</v>
      </c>
      <c r="U150" s="5" t="n">
        <v>0</v>
      </c>
      <c r="V150" s="4"/>
      <c r="W150" s="4"/>
      <c r="X150" s="5" t="n">
        <v>0</v>
      </c>
      <c r="Y150" s="5" t="n">
        <v>-11.58</v>
      </c>
    </row>
    <row r="151" customFormat="false" ht="12.8" hidden="false" customHeight="false" outlineLevel="0" collapsed="false">
      <c r="A151" s="3" t="n">
        <v>45988</v>
      </c>
      <c r="B151" s="1" t="s">
        <v>25</v>
      </c>
      <c r="C151" s="1" t="s">
        <v>276</v>
      </c>
      <c r="D151" s="3" t="n">
        <v>45988.380625</v>
      </c>
      <c r="F151" s="4" t="s">
        <v>273</v>
      </c>
      <c r="G151" s="1" t="s">
        <v>274</v>
      </c>
      <c r="H151" s="1" t="s">
        <v>275</v>
      </c>
      <c r="I151" s="4" t="n">
        <v>3</v>
      </c>
      <c r="J151" s="5" t="n">
        <v>0</v>
      </c>
      <c r="K151" s="6" t="n">
        <v>0</v>
      </c>
      <c r="L151" s="5" t="n">
        <v>0</v>
      </c>
      <c r="M151" s="5" t="n">
        <v>0</v>
      </c>
      <c r="N151" s="5" t="n">
        <v>0</v>
      </c>
      <c r="O151" s="5" t="n">
        <v>0</v>
      </c>
      <c r="P151" s="5" t="n">
        <v>0</v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0</v>
      </c>
      <c r="V151" s="4"/>
      <c r="W151" s="4"/>
      <c r="X151" s="5" t="n">
        <v>0</v>
      </c>
      <c r="Y151" s="5" t="n">
        <v>-56.82</v>
      </c>
    </row>
    <row r="152" customFormat="false" ht="12.8" hidden="false" customHeight="false" outlineLevel="0" collapsed="false">
      <c r="A152" s="3" t="n">
        <v>45985</v>
      </c>
      <c r="B152" s="1" t="s">
        <v>30</v>
      </c>
      <c r="C152" s="1" t="s">
        <v>277</v>
      </c>
      <c r="D152" s="3" t="n">
        <v>45978.604282407</v>
      </c>
      <c r="E152" s="1" t="s">
        <v>32</v>
      </c>
      <c r="F152" s="4" t="s">
        <v>278</v>
      </c>
      <c r="G152" s="1" t="s">
        <v>279</v>
      </c>
      <c r="H152" s="1" t="s">
        <v>280</v>
      </c>
      <c r="I152" s="4" t="n">
        <v>1</v>
      </c>
      <c r="J152" s="5" t="n">
        <v>1900</v>
      </c>
      <c r="K152" s="6" t="n">
        <v>0.41</v>
      </c>
      <c r="L152" s="5" t="n">
        <v>-779</v>
      </c>
      <c r="M152" s="5" t="n">
        <v>0</v>
      </c>
      <c r="N152" s="5" t="n">
        <v>-30</v>
      </c>
      <c r="O152" s="5" t="n">
        <v>0</v>
      </c>
      <c r="P152" s="5" t="n">
        <v>-8.51</v>
      </c>
      <c r="Q152" s="5" t="n">
        <v>0</v>
      </c>
      <c r="R152" s="5" t="n">
        <v>0</v>
      </c>
      <c r="S152" s="5" t="n">
        <v>0</v>
      </c>
      <c r="T152" s="5" t="n">
        <v>0</v>
      </c>
      <c r="U152" s="5" t="n">
        <v>-80</v>
      </c>
      <c r="V152" s="4"/>
      <c r="W152" s="4"/>
      <c r="X152" s="5" t="n">
        <v>0</v>
      </c>
      <c r="Y152" s="5" t="n">
        <v>1002.49</v>
      </c>
    </row>
    <row r="153" customFormat="false" ht="12.8" hidden="false" customHeight="false" outlineLevel="0" collapsed="false">
      <c r="A153" s="3" t="n">
        <v>45987</v>
      </c>
      <c r="B153" s="1" t="s">
        <v>30</v>
      </c>
      <c r="C153" s="1" t="s">
        <v>281</v>
      </c>
      <c r="D153" s="3" t="n">
        <v>45978.780578703</v>
      </c>
      <c r="E153" s="1" t="s">
        <v>32</v>
      </c>
      <c r="F153" s="4" t="s">
        <v>278</v>
      </c>
      <c r="G153" s="1" t="s">
        <v>279</v>
      </c>
      <c r="H153" s="1" t="s">
        <v>280</v>
      </c>
      <c r="I153" s="4" t="n">
        <v>1</v>
      </c>
      <c r="J153" s="5" t="n">
        <v>0</v>
      </c>
      <c r="K153" s="6" t="n">
        <v>0</v>
      </c>
      <c r="L153" s="5" t="n">
        <v>0</v>
      </c>
      <c r="M153" s="5" t="n">
        <v>0</v>
      </c>
      <c r="N153" s="5" t="n">
        <v>-30</v>
      </c>
      <c r="O153" s="5" t="n">
        <v>0</v>
      </c>
      <c r="P153" s="5" t="n">
        <v>0</v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-80</v>
      </c>
      <c r="V153" s="4"/>
      <c r="W153" s="4"/>
      <c r="X153" s="5" t="n">
        <v>0</v>
      </c>
      <c r="Y153" s="5" t="n">
        <v>-110</v>
      </c>
    </row>
    <row r="154" customFormat="false" ht="12.8" hidden="false" customHeight="false" outlineLevel="0" collapsed="false">
      <c r="A154" s="3" t="n">
        <v>45988</v>
      </c>
      <c r="B154" s="1" t="s">
        <v>25</v>
      </c>
      <c r="C154" s="1" t="s">
        <v>282</v>
      </c>
      <c r="D154" s="3" t="n">
        <v>45988.378402777</v>
      </c>
      <c r="F154" s="4" t="s">
        <v>278</v>
      </c>
      <c r="G154" s="1" t="s">
        <v>279</v>
      </c>
      <c r="H154" s="1" t="s">
        <v>280</v>
      </c>
      <c r="I154" s="4" t="n">
        <v>1</v>
      </c>
      <c r="J154" s="5" t="n">
        <v>0</v>
      </c>
      <c r="K154" s="6" t="n">
        <v>0</v>
      </c>
      <c r="L154" s="5" t="n">
        <v>0</v>
      </c>
      <c r="M154" s="5" t="n">
        <v>0</v>
      </c>
      <c r="N154" s="5" t="n">
        <v>0</v>
      </c>
      <c r="O154" s="5" t="n">
        <v>0</v>
      </c>
      <c r="P154" s="5" t="n">
        <v>0</v>
      </c>
      <c r="Q154" s="5" t="n">
        <v>0</v>
      </c>
      <c r="R154" s="5" t="n">
        <v>0</v>
      </c>
      <c r="S154" s="5" t="n">
        <v>0</v>
      </c>
      <c r="T154" s="5" t="n">
        <v>0</v>
      </c>
      <c r="U154" s="5" t="n">
        <v>0</v>
      </c>
      <c r="V154" s="4"/>
      <c r="W154" s="4"/>
      <c r="X154" s="5" t="n">
        <v>0</v>
      </c>
      <c r="Y154" s="5" t="n">
        <v>-22.29</v>
      </c>
    </row>
    <row r="155" customFormat="false" ht="12.8" hidden="false" customHeight="false" outlineLevel="0" collapsed="false">
      <c r="A155" s="3" t="n">
        <v>45985</v>
      </c>
      <c r="B155" s="1" t="s">
        <v>30</v>
      </c>
      <c r="C155" s="1" t="s">
        <v>283</v>
      </c>
      <c r="D155" s="3" t="n">
        <v>45975.998472222</v>
      </c>
      <c r="E155" s="1" t="s">
        <v>32</v>
      </c>
      <c r="F155" s="4" t="s">
        <v>284</v>
      </c>
      <c r="G155" s="1" t="s">
        <v>285</v>
      </c>
      <c r="H155" s="1" t="s">
        <v>286</v>
      </c>
      <c r="I155" s="4" t="n">
        <v>2</v>
      </c>
      <c r="J155" s="5" t="n">
        <v>1600</v>
      </c>
      <c r="K155" s="6" t="n">
        <v>0.44</v>
      </c>
      <c r="L155" s="5" t="n">
        <v>-704</v>
      </c>
      <c r="M155" s="5" t="n">
        <v>0</v>
      </c>
      <c r="N155" s="5" t="n">
        <v>-30</v>
      </c>
      <c r="O155" s="5" t="n">
        <v>0</v>
      </c>
      <c r="P155" s="5" t="n">
        <v>-13.4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-160</v>
      </c>
      <c r="V155" s="4"/>
      <c r="W155" s="4"/>
      <c r="X155" s="5" t="n">
        <v>0</v>
      </c>
      <c r="Y155" s="5" t="n">
        <v>692.6</v>
      </c>
    </row>
    <row r="156" customFormat="false" ht="12.8" hidden="false" customHeight="false" outlineLevel="0" collapsed="false">
      <c r="A156" s="3" t="n">
        <v>45989</v>
      </c>
      <c r="B156" s="1" t="s">
        <v>30</v>
      </c>
      <c r="C156" s="1" t="s">
        <v>195</v>
      </c>
      <c r="D156" s="3" t="n">
        <v>45985.611215277</v>
      </c>
      <c r="E156" s="1" t="s">
        <v>32</v>
      </c>
      <c r="F156" s="4" t="s">
        <v>284</v>
      </c>
      <c r="G156" s="1" t="s">
        <v>285</v>
      </c>
      <c r="H156" s="1" t="s">
        <v>286</v>
      </c>
      <c r="I156" s="4" t="n">
        <v>1</v>
      </c>
      <c r="J156" s="5" t="n">
        <v>800</v>
      </c>
      <c r="K156" s="6" t="n">
        <v>0.41</v>
      </c>
      <c r="L156" s="5" t="n">
        <v>-328</v>
      </c>
      <c r="M156" s="5" t="n">
        <v>0</v>
      </c>
      <c r="N156" s="5" t="n">
        <v>-10</v>
      </c>
      <c r="O156" s="5" t="n">
        <v>0</v>
      </c>
      <c r="P156" s="5" t="n">
        <v>0</v>
      </c>
      <c r="Q156" s="5" t="n">
        <v>0</v>
      </c>
      <c r="R156" s="5" t="n">
        <v>0</v>
      </c>
      <c r="S156" s="5" t="n">
        <v>0</v>
      </c>
      <c r="T156" s="5" t="n">
        <v>0</v>
      </c>
      <c r="U156" s="5" t="n">
        <v>-80</v>
      </c>
      <c r="V156" s="4"/>
      <c r="W156" s="4"/>
      <c r="X156" s="5" t="n">
        <v>0</v>
      </c>
      <c r="Y156" s="5" t="n">
        <v>382</v>
      </c>
    </row>
    <row r="157" customFormat="false" ht="12.8" hidden="false" customHeight="false" outlineLevel="0" collapsed="false">
      <c r="A157" s="3" t="n">
        <v>45991</v>
      </c>
      <c r="B157" s="1" t="s">
        <v>30</v>
      </c>
      <c r="C157" s="1" t="s">
        <v>287</v>
      </c>
      <c r="D157" s="3" t="n">
        <v>45980.546701388</v>
      </c>
      <c r="E157" s="1" t="s">
        <v>32</v>
      </c>
      <c r="F157" s="4" t="s">
        <v>284</v>
      </c>
      <c r="G157" s="1" t="s">
        <v>285</v>
      </c>
      <c r="H157" s="1" t="s">
        <v>286</v>
      </c>
      <c r="I157" s="4" t="n">
        <v>1</v>
      </c>
      <c r="J157" s="5" t="n">
        <v>800</v>
      </c>
      <c r="K157" s="6" t="n">
        <v>0.41</v>
      </c>
      <c r="L157" s="5" t="n">
        <v>-328</v>
      </c>
      <c r="M157" s="5" t="n">
        <v>0</v>
      </c>
      <c r="N157" s="5" t="n">
        <v>-30</v>
      </c>
      <c r="O157" s="5" t="n">
        <v>0</v>
      </c>
      <c r="P157" s="5" t="n">
        <v>-5.5</v>
      </c>
      <c r="Q157" s="5" t="n">
        <v>0</v>
      </c>
      <c r="R157" s="5" t="n">
        <v>0</v>
      </c>
      <c r="S157" s="5" t="n">
        <v>0</v>
      </c>
      <c r="T157" s="5" t="n">
        <v>0</v>
      </c>
      <c r="U157" s="5" t="n">
        <v>-80</v>
      </c>
      <c r="V157" s="4"/>
      <c r="W157" s="4"/>
      <c r="X157" s="5" t="n">
        <v>0</v>
      </c>
      <c r="Y157" s="5" t="n">
        <v>356.5</v>
      </c>
    </row>
    <row r="158" customFormat="false" ht="12.8" hidden="false" customHeight="false" outlineLevel="0" collapsed="false">
      <c r="A158" s="3" t="n">
        <v>45989</v>
      </c>
      <c r="B158" s="1" t="s">
        <v>25</v>
      </c>
      <c r="C158" s="1" t="s">
        <v>288</v>
      </c>
      <c r="D158" s="3" t="n">
        <v>45988.872939814</v>
      </c>
      <c r="F158" s="4" t="s">
        <v>289</v>
      </c>
      <c r="G158" s="1" t="s">
        <v>290</v>
      </c>
      <c r="H158" s="1" t="s">
        <v>291</v>
      </c>
      <c r="I158" s="4" t="n">
        <v>4</v>
      </c>
      <c r="J158" s="5" t="n">
        <v>0</v>
      </c>
      <c r="K158" s="6" t="n">
        <v>0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4"/>
      <c r="W158" s="4"/>
      <c r="X158" s="5" t="n">
        <v>0</v>
      </c>
      <c r="Y158" s="5" t="n">
        <v>-38.52</v>
      </c>
    </row>
    <row r="159" customFormat="false" ht="12.8" hidden="false" customHeight="false" outlineLevel="0" collapsed="false">
      <c r="A159" s="3" t="n">
        <v>45985</v>
      </c>
      <c r="B159" s="1" t="s">
        <v>25</v>
      </c>
      <c r="C159" s="1" t="s">
        <v>187</v>
      </c>
      <c r="D159" s="3" t="n">
        <v>45985.261643518</v>
      </c>
      <c r="F159" s="4" t="s">
        <v>292</v>
      </c>
      <c r="G159" s="1" t="s">
        <v>293</v>
      </c>
      <c r="H159" s="1" t="s">
        <v>294</v>
      </c>
      <c r="I159" s="4" t="n">
        <v>1</v>
      </c>
      <c r="J159" s="5" t="n">
        <v>0</v>
      </c>
      <c r="K159" s="6" t="n">
        <v>0</v>
      </c>
      <c r="L159" s="5" t="n">
        <v>0</v>
      </c>
      <c r="M159" s="5" t="n">
        <v>0</v>
      </c>
      <c r="N159" s="5" t="n">
        <v>0</v>
      </c>
      <c r="O159" s="5" t="n">
        <v>0</v>
      </c>
      <c r="P159" s="5" t="n">
        <v>0</v>
      </c>
      <c r="Q159" s="5" t="n">
        <v>0</v>
      </c>
      <c r="R159" s="5" t="n">
        <v>0</v>
      </c>
      <c r="S159" s="5" t="n">
        <v>0</v>
      </c>
      <c r="T159" s="5" t="n">
        <v>0</v>
      </c>
      <c r="U159" s="5" t="n">
        <v>0</v>
      </c>
      <c r="V159" s="4"/>
      <c r="W159" s="4"/>
      <c r="X159" s="5" t="n">
        <v>0</v>
      </c>
      <c r="Y159" s="5" t="n">
        <v>-3.09</v>
      </c>
    </row>
    <row r="160" customFormat="false" ht="12.8" hidden="false" customHeight="false" outlineLevel="0" collapsed="false">
      <c r="A160" s="3" t="n">
        <v>45987</v>
      </c>
      <c r="B160" s="1" t="s">
        <v>25</v>
      </c>
      <c r="C160" s="1" t="s">
        <v>295</v>
      </c>
      <c r="D160" s="3" t="n">
        <v>45987.544930555</v>
      </c>
      <c r="F160" s="4" t="s">
        <v>292</v>
      </c>
      <c r="G160" s="1" t="s">
        <v>293</v>
      </c>
      <c r="H160" s="1" t="s">
        <v>294</v>
      </c>
      <c r="I160" s="4" t="n">
        <v>1</v>
      </c>
      <c r="J160" s="5" t="n">
        <v>0</v>
      </c>
      <c r="K160" s="6" t="n">
        <v>0</v>
      </c>
      <c r="L160" s="5" t="n">
        <v>0</v>
      </c>
      <c r="M160" s="5" t="n">
        <v>0</v>
      </c>
      <c r="N160" s="5" t="n">
        <v>0</v>
      </c>
      <c r="O160" s="5" t="n">
        <v>0</v>
      </c>
      <c r="P160" s="5" t="n">
        <v>0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4"/>
      <c r="W160" s="4"/>
      <c r="X160" s="5" t="n">
        <v>0</v>
      </c>
      <c r="Y160" s="5" t="n">
        <v>-8.81</v>
      </c>
    </row>
    <row r="161" customFormat="false" ht="12.8" hidden="false" customHeight="false" outlineLevel="0" collapsed="false">
      <c r="A161" s="3" t="n">
        <v>45988</v>
      </c>
      <c r="B161" s="1" t="s">
        <v>30</v>
      </c>
      <c r="C161" s="1" t="s">
        <v>296</v>
      </c>
      <c r="D161" s="3" t="n">
        <v>45982.584525462</v>
      </c>
      <c r="E161" s="1" t="s">
        <v>32</v>
      </c>
      <c r="F161" s="4" t="s">
        <v>292</v>
      </c>
      <c r="G161" s="1" t="s">
        <v>293</v>
      </c>
      <c r="H161" s="1" t="s">
        <v>294</v>
      </c>
      <c r="I161" s="4" t="n">
        <v>3</v>
      </c>
      <c r="J161" s="5" t="n">
        <v>2400</v>
      </c>
      <c r="K161" s="6" t="n">
        <v>0.41</v>
      </c>
      <c r="L161" s="5" t="n">
        <v>-984</v>
      </c>
      <c r="M161" s="5" t="n">
        <v>0</v>
      </c>
      <c r="N161" s="5" t="n">
        <v>-30</v>
      </c>
      <c r="O161" s="5" t="n">
        <v>0</v>
      </c>
      <c r="P161" s="5" t="n">
        <v>-8.82</v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-240</v>
      </c>
      <c r="V161" s="4"/>
      <c r="W161" s="4"/>
      <c r="X161" s="5" t="n">
        <v>0</v>
      </c>
      <c r="Y161" s="5" t="n">
        <v>1137.18</v>
      </c>
    </row>
    <row r="162" customFormat="false" ht="12.8" hidden="false" customHeight="false" outlineLevel="0" collapsed="false">
      <c r="A162" s="3" t="n">
        <v>45989</v>
      </c>
      <c r="B162" s="1" t="s">
        <v>30</v>
      </c>
      <c r="C162" s="1" t="s">
        <v>195</v>
      </c>
      <c r="D162" s="3" t="n">
        <v>45985.611215277</v>
      </c>
      <c r="E162" s="1" t="s">
        <v>32</v>
      </c>
      <c r="F162" s="4" t="s">
        <v>292</v>
      </c>
      <c r="G162" s="1" t="s">
        <v>293</v>
      </c>
      <c r="H162" s="1" t="s">
        <v>294</v>
      </c>
      <c r="I162" s="4" t="n">
        <v>1</v>
      </c>
      <c r="J162" s="5" t="n">
        <v>800</v>
      </c>
      <c r="K162" s="6" t="n">
        <v>0.41</v>
      </c>
      <c r="L162" s="5" t="n">
        <v>-328</v>
      </c>
      <c r="M162" s="5" t="n">
        <v>0</v>
      </c>
      <c r="N162" s="5" t="n">
        <v>-10</v>
      </c>
      <c r="O162" s="5" t="n">
        <v>0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-80</v>
      </c>
      <c r="V162" s="4"/>
      <c r="W162" s="4"/>
      <c r="X162" s="5" t="n">
        <v>0</v>
      </c>
      <c r="Y162" s="5" t="n">
        <v>382</v>
      </c>
    </row>
    <row r="163" customFormat="false" ht="12.8" hidden="false" customHeight="false" outlineLevel="0" collapsed="false">
      <c r="A163" s="3" t="n">
        <v>45990</v>
      </c>
      <c r="B163" s="1" t="s">
        <v>30</v>
      </c>
      <c r="C163" s="1" t="s">
        <v>297</v>
      </c>
      <c r="D163" s="3" t="n">
        <v>45987.544930555</v>
      </c>
      <c r="E163" s="1" t="s">
        <v>32</v>
      </c>
      <c r="F163" s="4" t="s">
        <v>292</v>
      </c>
      <c r="G163" s="1" t="s">
        <v>293</v>
      </c>
      <c r="H163" s="1" t="s">
        <v>294</v>
      </c>
      <c r="I163" s="4" t="n">
        <v>1</v>
      </c>
      <c r="J163" s="5" t="n">
        <v>800</v>
      </c>
      <c r="K163" s="6" t="n">
        <v>0.41</v>
      </c>
      <c r="L163" s="5" t="n">
        <v>-328</v>
      </c>
      <c r="M163" s="5" t="n">
        <v>0</v>
      </c>
      <c r="N163" s="5" t="n">
        <v>-30</v>
      </c>
      <c r="O163" s="5" t="n">
        <v>0</v>
      </c>
      <c r="P163" s="5" t="n">
        <v>-3.72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-80</v>
      </c>
      <c r="V163" s="4"/>
      <c r="W163" s="4"/>
      <c r="X163" s="5" t="n">
        <v>0</v>
      </c>
      <c r="Y163" s="5" t="n">
        <v>358.28</v>
      </c>
    </row>
    <row r="164" customFormat="false" ht="12.8" hidden="false" customHeight="false" outlineLevel="0" collapsed="false">
      <c r="A164" s="3" t="n">
        <v>45986</v>
      </c>
      <c r="B164" s="1" t="s">
        <v>25</v>
      </c>
      <c r="C164" s="1" t="s">
        <v>298</v>
      </c>
      <c r="D164" s="3" t="n">
        <v>45986.750462962</v>
      </c>
      <c r="F164" s="4" t="s">
        <v>299</v>
      </c>
      <c r="G164" s="1" t="s">
        <v>300</v>
      </c>
      <c r="H164" s="1" t="s">
        <v>301</v>
      </c>
      <c r="I164" s="4" t="n">
        <v>1</v>
      </c>
      <c r="J164" s="5" t="n">
        <v>0</v>
      </c>
      <c r="K164" s="6" t="n">
        <v>0</v>
      </c>
      <c r="L164" s="5" t="n">
        <v>0</v>
      </c>
      <c r="M164" s="5" t="n">
        <v>0</v>
      </c>
      <c r="N164" s="5" t="n">
        <v>0</v>
      </c>
      <c r="O164" s="5" t="n">
        <v>0</v>
      </c>
      <c r="P164" s="5" t="n">
        <v>0</v>
      </c>
      <c r="Q164" s="5" t="n">
        <v>0</v>
      </c>
      <c r="R164" s="5" t="n">
        <v>0</v>
      </c>
      <c r="S164" s="5" t="n">
        <v>0</v>
      </c>
      <c r="T164" s="5" t="n">
        <v>0</v>
      </c>
      <c r="U164" s="5" t="n">
        <v>0</v>
      </c>
      <c r="V164" s="4"/>
      <c r="W164" s="4"/>
      <c r="X164" s="5" t="n">
        <v>0</v>
      </c>
      <c r="Y164" s="5" t="n">
        <v>-24.97</v>
      </c>
    </row>
    <row r="165" customFormat="false" ht="12.8" hidden="false" customHeight="false" outlineLevel="0" collapsed="false">
      <c r="A165" s="3" t="n">
        <v>45987</v>
      </c>
      <c r="B165" s="1" t="s">
        <v>25</v>
      </c>
      <c r="C165" s="1" t="s">
        <v>302</v>
      </c>
      <c r="D165" s="3" t="n">
        <v>45987.44355324</v>
      </c>
      <c r="F165" s="4" t="s">
        <v>299</v>
      </c>
      <c r="G165" s="1" t="s">
        <v>300</v>
      </c>
      <c r="H165" s="1" t="s">
        <v>301</v>
      </c>
      <c r="I165" s="4" t="n">
        <v>1</v>
      </c>
      <c r="J165" s="5" t="n">
        <v>0</v>
      </c>
      <c r="K165" s="6" t="n">
        <v>0</v>
      </c>
      <c r="L165" s="5" t="n">
        <v>0</v>
      </c>
      <c r="M165" s="5" t="n">
        <v>0</v>
      </c>
      <c r="N165" s="5" t="n">
        <v>0</v>
      </c>
      <c r="O165" s="5" t="n">
        <v>0</v>
      </c>
      <c r="P165" s="5" t="n">
        <v>0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4"/>
      <c r="W165" s="4"/>
      <c r="X165" s="5" t="n">
        <v>0</v>
      </c>
      <c r="Y165" s="5" t="n">
        <v>-9.74</v>
      </c>
    </row>
    <row r="166" customFormat="false" ht="12.8" hidden="false" customHeight="false" outlineLevel="0" collapsed="false">
      <c r="A166" s="3" t="n">
        <v>45987</v>
      </c>
      <c r="B166" s="1" t="s">
        <v>30</v>
      </c>
      <c r="C166" s="1" t="s">
        <v>303</v>
      </c>
      <c r="D166" s="3" t="n">
        <v>45971.940810185</v>
      </c>
      <c r="E166" s="1" t="s">
        <v>32</v>
      </c>
      <c r="F166" s="4" t="s">
        <v>299</v>
      </c>
      <c r="G166" s="1" t="s">
        <v>300</v>
      </c>
      <c r="H166" s="1" t="s">
        <v>301</v>
      </c>
      <c r="I166" s="4" t="n">
        <v>1</v>
      </c>
      <c r="J166" s="5" t="n">
        <v>1490</v>
      </c>
      <c r="K166" s="6" t="n">
        <v>0.44</v>
      </c>
      <c r="L166" s="5" t="n">
        <v>-655.6</v>
      </c>
      <c r="M166" s="5" t="n">
        <v>0</v>
      </c>
      <c r="N166" s="5" t="n">
        <v>-30</v>
      </c>
      <c r="O166" s="5" t="n">
        <v>0</v>
      </c>
      <c r="P166" s="5" t="n">
        <v>-9.41</v>
      </c>
      <c r="Q166" s="5" t="n">
        <v>0</v>
      </c>
      <c r="R166" s="5" t="n">
        <v>0</v>
      </c>
      <c r="S166" s="5" t="n">
        <v>0</v>
      </c>
      <c r="T166" s="5" t="n">
        <v>0</v>
      </c>
      <c r="U166" s="5" t="n">
        <v>-80</v>
      </c>
      <c r="V166" s="4"/>
      <c r="W166" s="4"/>
      <c r="X166" s="5" t="n">
        <v>0</v>
      </c>
      <c r="Y166" s="5" t="n">
        <v>714.99</v>
      </c>
    </row>
    <row r="167" customFormat="false" ht="12.8" hidden="false" customHeight="false" outlineLevel="0" collapsed="false">
      <c r="A167" s="3" t="n">
        <v>45987</v>
      </c>
      <c r="B167" s="1" t="s">
        <v>25</v>
      </c>
      <c r="C167" s="1" t="s">
        <v>303</v>
      </c>
      <c r="D167" s="3" t="n">
        <v>45971.940810185</v>
      </c>
      <c r="F167" s="4" t="s">
        <v>299</v>
      </c>
      <c r="G167" s="1" t="s">
        <v>300</v>
      </c>
      <c r="H167" s="1" t="s">
        <v>301</v>
      </c>
      <c r="I167" s="4" t="n">
        <v>1</v>
      </c>
      <c r="J167" s="5" t="n">
        <v>0</v>
      </c>
      <c r="K167" s="6" t="n">
        <v>0</v>
      </c>
      <c r="L167" s="5" t="n">
        <v>0</v>
      </c>
      <c r="M167" s="5" t="n">
        <v>0</v>
      </c>
      <c r="N167" s="5" t="n">
        <v>0</v>
      </c>
      <c r="O167" s="5" t="n">
        <v>0</v>
      </c>
      <c r="P167" s="5" t="n">
        <v>0</v>
      </c>
      <c r="Q167" s="5" t="n">
        <v>0</v>
      </c>
      <c r="R167" s="5" t="n">
        <v>0</v>
      </c>
      <c r="S167" s="5" t="n">
        <v>0</v>
      </c>
      <c r="T167" s="5" t="n">
        <v>0</v>
      </c>
      <c r="U167" s="5" t="n">
        <v>0</v>
      </c>
      <c r="V167" s="4"/>
      <c r="W167" s="4"/>
      <c r="X167" s="5" t="n">
        <v>0</v>
      </c>
      <c r="Y167" s="5" t="n">
        <v>-18.15</v>
      </c>
    </row>
    <row r="168" customFormat="false" ht="12.8" hidden="false" customHeight="false" outlineLevel="0" collapsed="false">
      <c r="A168" s="3" t="n">
        <v>45989</v>
      </c>
      <c r="B168" s="1" t="s">
        <v>43</v>
      </c>
      <c r="C168" s="1" t="s">
        <v>304</v>
      </c>
      <c r="D168" s="3" t="n">
        <v>45981.898275462</v>
      </c>
      <c r="E168" s="1" t="s">
        <v>32</v>
      </c>
      <c r="F168" s="4" t="s">
        <v>299</v>
      </c>
      <c r="G168" s="1" t="s">
        <v>300</v>
      </c>
      <c r="H168" s="1" t="s">
        <v>301</v>
      </c>
      <c r="I168" s="4" t="n">
        <v>1</v>
      </c>
      <c r="J168" s="5" t="n">
        <v>0</v>
      </c>
      <c r="K168" s="6" t="n">
        <v>0</v>
      </c>
      <c r="L168" s="5" t="n">
        <v>0</v>
      </c>
      <c r="M168" s="5" t="n">
        <v>0</v>
      </c>
      <c r="N168" s="5" t="n">
        <v>-30</v>
      </c>
      <c r="O168" s="5" t="n">
        <v>0</v>
      </c>
      <c r="P168" s="5" t="n">
        <v>-8.99</v>
      </c>
      <c r="Q168" s="5" t="n">
        <v>0</v>
      </c>
      <c r="R168" s="5" t="n">
        <v>0</v>
      </c>
      <c r="S168" s="5" t="n">
        <v>0</v>
      </c>
      <c r="T168" s="5" t="n">
        <v>0</v>
      </c>
      <c r="U168" s="5" t="n">
        <v>-80</v>
      </c>
      <c r="V168" s="4"/>
      <c r="W168" s="4"/>
      <c r="X168" s="5" t="n">
        <v>0</v>
      </c>
      <c r="Y168" s="5" t="n">
        <v>-118.99</v>
      </c>
    </row>
    <row r="169" customFormat="false" ht="12.8" hidden="false" customHeight="false" outlineLevel="0" collapsed="false">
      <c r="A169" s="3" t="n">
        <v>45989</v>
      </c>
      <c r="B169" s="1" t="s">
        <v>43</v>
      </c>
      <c r="C169" s="1" t="s">
        <v>304</v>
      </c>
      <c r="D169" s="3" t="n">
        <v>45981.898275462</v>
      </c>
      <c r="E169" s="1" t="s">
        <v>32</v>
      </c>
      <c r="F169" s="4" t="s">
        <v>299</v>
      </c>
      <c r="G169" s="1" t="s">
        <v>300</v>
      </c>
      <c r="H169" s="1" t="s">
        <v>301</v>
      </c>
      <c r="I169" s="4" t="n">
        <v>1</v>
      </c>
      <c r="J169" s="5" t="n">
        <v>0</v>
      </c>
      <c r="K169" s="6" t="n">
        <v>0</v>
      </c>
      <c r="L169" s="5" t="n">
        <v>0</v>
      </c>
      <c r="M169" s="5" t="n">
        <v>0</v>
      </c>
      <c r="N169" s="5" t="n">
        <v>0</v>
      </c>
      <c r="O169" s="5" t="n">
        <v>0</v>
      </c>
      <c r="P169" s="5" t="n">
        <v>-8.99</v>
      </c>
      <c r="Q169" s="5" t="n">
        <v>0</v>
      </c>
      <c r="R169" s="5" t="n">
        <v>0</v>
      </c>
      <c r="S169" s="5" t="n">
        <v>0</v>
      </c>
      <c r="T169" s="5" t="n">
        <v>0</v>
      </c>
      <c r="U169" s="5" t="n">
        <v>-80</v>
      </c>
      <c r="V169" s="4"/>
      <c r="W169" s="4"/>
      <c r="X169" s="5" t="n">
        <v>0</v>
      </c>
      <c r="Y169" s="5" t="n">
        <v>-88.99</v>
      </c>
    </row>
    <row r="170" customFormat="false" ht="12.8" hidden="false" customHeight="false" outlineLevel="0" collapsed="false">
      <c r="A170" s="3" t="n">
        <v>45989</v>
      </c>
      <c r="B170" s="1" t="s">
        <v>43</v>
      </c>
      <c r="C170" s="1" t="s">
        <v>304</v>
      </c>
      <c r="D170" s="3" t="n">
        <v>45981.898275462</v>
      </c>
      <c r="E170" s="1" t="s">
        <v>32</v>
      </c>
      <c r="F170" s="4" t="s">
        <v>299</v>
      </c>
      <c r="G170" s="1" t="s">
        <v>300</v>
      </c>
      <c r="H170" s="1" t="s">
        <v>301</v>
      </c>
      <c r="I170" s="4" t="n">
        <v>1</v>
      </c>
      <c r="J170" s="5" t="n">
        <v>0</v>
      </c>
      <c r="K170" s="6" t="n">
        <v>0</v>
      </c>
      <c r="L170" s="5" t="n">
        <v>0</v>
      </c>
      <c r="M170" s="5" t="n">
        <v>0</v>
      </c>
      <c r="N170" s="5" t="n">
        <v>0</v>
      </c>
      <c r="O170" s="5" t="n">
        <v>0</v>
      </c>
      <c r="P170" s="5" t="n">
        <v>-8.99</v>
      </c>
      <c r="Q170" s="5" t="n">
        <v>0</v>
      </c>
      <c r="R170" s="5" t="n">
        <v>0</v>
      </c>
      <c r="S170" s="5" t="n">
        <v>0</v>
      </c>
      <c r="T170" s="5" t="n">
        <v>0</v>
      </c>
      <c r="U170" s="5" t="n">
        <v>-80</v>
      </c>
      <c r="V170" s="4"/>
      <c r="W170" s="4"/>
      <c r="X170" s="5" t="n">
        <v>0</v>
      </c>
      <c r="Y170" s="5" t="n">
        <v>-88.99</v>
      </c>
    </row>
    <row r="171" customFormat="false" ht="12.8" hidden="false" customHeight="false" outlineLevel="0" collapsed="false">
      <c r="A171" s="3" t="n">
        <v>45989</v>
      </c>
      <c r="B171" s="1" t="s">
        <v>43</v>
      </c>
      <c r="C171" s="1" t="s">
        <v>304</v>
      </c>
      <c r="D171" s="3" t="n">
        <v>45981.898275462</v>
      </c>
      <c r="E171" s="1" t="s">
        <v>32</v>
      </c>
      <c r="F171" s="4" t="s">
        <v>299</v>
      </c>
      <c r="G171" s="1" t="s">
        <v>300</v>
      </c>
      <c r="H171" s="1" t="s">
        <v>301</v>
      </c>
      <c r="I171" s="4" t="n">
        <v>1</v>
      </c>
      <c r="J171" s="5" t="n">
        <v>0</v>
      </c>
      <c r="K171" s="6" t="n">
        <v>0</v>
      </c>
      <c r="L171" s="5" t="n">
        <v>0</v>
      </c>
      <c r="M171" s="5" t="n">
        <v>0</v>
      </c>
      <c r="N171" s="5" t="n">
        <v>0</v>
      </c>
      <c r="O171" s="5" t="n">
        <v>0</v>
      </c>
      <c r="P171" s="5" t="n">
        <v>-8.99</v>
      </c>
      <c r="Q171" s="5" t="n">
        <v>0</v>
      </c>
      <c r="R171" s="5" t="n">
        <v>0</v>
      </c>
      <c r="S171" s="5" t="n">
        <v>0</v>
      </c>
      <c r="T171" s="5" t="n">
        <v>0</v>
      </c>
      <c r="U171" s="5" t="n">
        <v>-80</v>
      </c>
      <c r="V171" s="4"/>
      <c r="W171" s="4"/>
      <c r="X171" s="5" t="n">
        <v>0</v>
      </c>
      <c r="Y171" s="5" t="n">
        <v>-88.99</v>
      </c>
    </row>
    <row r="172" customFormat="false" ht="12.8" hidden="false" customHeight="false" outlineLevel="0" collapsed="false">
      <c r="A172" s="3" t="n">
        <v>45989</v>
      </c>
      <c r="B172" s="1" t="s">
        <v>43</v>
      </c>
      <c r="C172" s="1" t="s">
        <v>304</v>
      </c>
      <c r="D172" s="3" t="n">
        <v>45981.898275462</v>
      </c>
      <c r="E172" s="1" t="s">
        <v>32</v>
      </c>
      <c r="F172" s="4" t="s">
        <v>299</v>
      </c>
      <c r="G172" s="1" t="s">
        <v>300</v>
      </c>
      <c r="H172" s="1" t="s">
        <v>301</v>
      </c>
      <c r="I172" s="4" t="n">
        <v>1</v>
      </c>
      <c r="J172" s="5" t="n">
        <v>0</v>
      </c>
      <c r="K172" s="6" t="n">
        <v>0</v>
      </c>
      <c r="L172" s="5" t="n">
        <v>0</v>
      </c>
      <c r="M172" s="5" t="n">
        <v>0</v>
      </c>
      <c r="N172" s="5" t="n">
        <v>0</v>
      </c>
      <c r="O172" s="5" t="n">
        <v>0</v>
      </c>
      <c r="P172" s="5" t="n">
        <v>0</v>
      </c>
      <c r="Q172" s="5" t="n">
        <v>0</v>
      </c>
      <c r="R172" s="5" t="n">
        <v>-15</v>
      </c>
      <c r="S172" s="5" t="n">
        <v>0</v>
      </c>
      <c r="T172" s="5" t="n">
        <v>0</v>
      </c>
      <c r="U172" s="5" t="n">
        <v>0</v>
      </c>
      <c r="V172" s="4"/>
      <c r="W172" s="4"/>
      <c r="X172" s="5" t="n">
        <v>-46</v>
      </c>
      <c r="Y172" s="5" t="n">
        <v>-61</v>
      </c>
    </row>
    <row r="173" customFormat="false" ht="12.8" hidden="false" customHeight="false" outlineLevel="0" collapsed="false">
      <c r="A173" s="3" t="n">
        <v>45989</v>
      </c>
      <c r="B173" s="1" t="s">
        <v>43</v>
      </c>
      <c r="C173" s="1" t="s">
        <v>304</v>
      </c>
      <c r="D173" s="3" t="n">
        <v>45981.898275462</v>
      </c>
      <c r="E173" s="1" t="s">
        <v>32</v>
      </c>
      <c r="F173" s="4" t="s">
        <v>299</v>
      </c>
      <c r="G173" s="1" t="s">
        <v>300</v>
      </c>
      <c r="H173" s="1" t="s">
        <v>301</v>
      </c>
      <c r="I173" s="4" t="n">
        <v>1</v>
      </c>
      <c r="J173" s="5" t="n">
        <v>0</v>
      </c>
      <c r="K173" s="6" t="n">
        <v>0</v>
      </c>
      <c r="L173" s="5" t="n">
        <v>0</v>
      </c>
      <c r="M173" s="5" t="n">
        <v>0</v>
      </c>
      <c r="N173" s="5" t="n">
        <v>0</v>
      </c>
      <c r="O173" s="5" t="n">
        <v>0</v>
      </c>
      <c r="P173" s="5" t="n">
        <v>0</v>
      </c>
      <c r="Q173" s="5" t="n">
        <v>0</v>
      </c>
      <c r="R173" s="5" t="n">
        <v>-15</v>
      </c>
      <c r="S173" s="5" t="n">
        <v>0</v>
      </c>
      <c r="T173" s="5" t="n">
        <v>0</v>
      </c>
      <c r="U173" s="5" t="n">
        <v>0</v>
      </c>
      <c r="V173" s="4"/>
      <c r="W173" s="4"/>
      <c r="X173" s="5" t="n">
        <v>-46</v>
      </c>
      <c r="Y173" s="5" t="n">
        <v>-61</v>
      </c>
    </row>
    <row r="174" customFormat="false" ht="12.8" hidden="false" customHeight="false" outlineLevel="0" collapsed="false">
      <c r="A174" s="3" t="n">
        <v>45989</v>
      </c>
      <c r="B174" s="1" t="s">
        <v>43</v>
      </c>
      <c r="C174" s="1" t="s">
        <v>304</v>
      </c>
      <c r="D174" s="3" t="n">
        <v>45981.898275462</v>
      </c>
      <c r="E174" s="1" t="s">
        <v>32</v>
      </c>
      <c r="F174" s="4" t="s">
        <v>299</v>
      </c>
      <c r="G174" s="1" t="s">
        <v>300</v>
      </c>
      <c r="H174" s="1" t="s">
        <v>301</v>
      </c>
      <c r="I174" s="4" t="n">
        <v>1</v>
      </c>
      <c r="J174" s="5" t="n">
        <v>0</v>
      </c>
      <c r="K174" s="6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0</v>
      </c>
      <c r="Q174" s="5" t="n">
        <v>0</v>
      </c>
      <c r="R174" s="5" t="n">
        <v>-15</v>
      </c>
      <c r="S174" s="5" t="n">
        <v>0</v>
      </c>
      <c r="T174" s="5" t="n">
        <v>0</v>
      </c>
      <c r="U174" s="5" t="n">
        <v>0</v>
      </c>
      <c r="V174" s="4"/>
      <c r="W174" s="4"/>
      <c r="X174" s="5" t="n">
        <v>-46</v>
      </c>
      <c r="Y174" s="5" t="n">
        <v>-61</v>
      </c>
    </row>
    <row r="175" customFormat="false" ht="12.8" hidden="false" customHeight="false" outlineLevel="0" collapsed="false">
      <c r="A175" s="3" t="n">
        <v>45989</v>
      </c>
      <c r="B175" s="1" t="s">
        <v>43</v>
      </c>
      <c r="C175" s="1" t="s">
        <v>304</v>
      </c>
      <c r="D175" s="3" t="n">
        <v>45981.898275462</v>
      </c>
      <c r="E175" s="1" t="s">
        <v>32</v>
      </c>
      <c r="F175" s="4" t="s">
        <v>299</v>
      </c>
      <c r="G175" s="1" t="s">
        <v>300</v>
      </c>
      <c r="H175" s="1" t="s">
        <v>301</v>
      </c>
      <c r="I175" s="4" t="n">
        <v>1</v>
      </c>
      <c r="J175" s="5" t="n">
        <v>0</v>
      </c>
      <c r="K175" s="6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0</v>
      </c>
      <c r="Q175" s="5" t="n">
        <v>0</v>
      </c>
      <c r="R175" s="5" t="n">
        <v>-15</v>
      </c>
      <c r="S175" s="5" t="n">
        <v>0</v>
      </c>
      <c r="T175" s="5" t="n">
        <v>0</v>
      </c>
      <c r="U175" s="5" t="n">
        <v>0</v>
      </c>
      <c r="V175" s="4"/>
      <c r="W175" s="4"/>
      <c r="X175" s="5" t="n">
        <v>-46</v>
      </c>
      <c r="Y175" s="5" t="n">
        <v>-61</v>
      </c>
    </row>
    <row r="176" customFormat="false" ht="12.8" hidden="false" customHeight="false" outlineLevel="0" collapsed="false">
      <c r="A176" s="3" t="n">
        <v>45986</v>
      </c>
      <c r="B176" s="1" t="s">
        <v>30</v>
      </c>
      <c r="C176" s="1" t="s">
        <v>305</v>
      </c>
      <c r="D176" s="3" t="n">
        <v>45980.596724537</v>
      </c>
      <c r="E176" s="1" t="s">
        <v>32</v>
      </c>
      <c r="F176" s="4" t="s">
        <v>306</v>
      </c>
      <c r="G176" s="1" t="s">
        <v>307</v>
      </c>
      <c r="H176" s="1" t="s">
        <v>308</v>
      </c>
      <c r="I176" s="4" t="n">
        <v>1</v>
      </c>
      <c r="J176" s="5" t="n">
        <v>1100</v>
      </c>
      <c r="K176" s="6" t="n">
        <v>0.41</v>
      </c>
      <c r="L176" s="5" t="n">
        <v>-451</v>
      </c>
      <c r="M176" s="5" t="n">
        <v>0</v>
      </c>
      <c r="N176" s="5" t="n">
        <v>-30</v>
      </c>
      <c r="O176" s="5" t="n">
        <v>0</v>
      </c>
      <c r="P176" s="5" t="n">
        <v>-6.1</v>
      </c>
      <c r="Q176" s="5" t="n">
        <v>0</v>
      </c>
      <c r="R176" s="5" t="n">
        <v>0</v>
      </c>
      <c r="S176" s="5" t="n">
        <v>0</v>
      </c>
      <c r="T176" s="5" t="n">
        <v>0</v>
      </c>
      <c r="U176" s="5" t="n">
        <v>-80</v>
      </c>
      <c r="V176" s="4"/>
      <c r="W176" s="4"/>
      <c r="X176" s="5" t="n">
        <v>0</v>
      </c>
      <c r="Y176" s="5" t="n">
        <v>532.9</v>
      </c>
    </row>
    <row r="177" customFormat="false" ht="12.8" hidden="false" customHeight="false" outlineLevel="0" collapsed="false">
      <c r="A177" s="3" t="n">
        <v>45986</v>
      </c>
      <c r="B177" s="1" t="s">
        <v>25</v>
      </c>
      <c r="C177" s="1" t="s">
        <v>305</v>
      </c>
      <c r="D177" s="3" t="n">
        <v>45980.596724537</v>
      </c>
      <c r="F177" s="4" t="s">
        <v>306</v>
      </c>
      <c r="G177" s="1" t="s">
        <v>307</v>
      </c>
      <c r="H177" s="1" t="s">
        <v>308</v>
      </c>
      <c r="I177" s="4" t="n">
        <v>1</v>
      </c>
      <c r="J177" s="5" t="n">
        <v>0</v>
      </c>
      <c r="K177" s="6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0</v>
      </c>
      <c r="Q177" s="5" t="n">
        <v>0</v>
      </c>
      <c r="R177" s="5" t="n">
        <v>0</v>
      </c>
      <c r="S177" s="5" t="n">
        <v>0</v>
      </c>
      <c r="T177" s="5" t="n">
        <v>0</v>
      </c>
      <c r="U177" s="5" t="n">
        <v>0</v>
      </c>
      <c r="V177" s="4"/>
      <c r="W177" s="4"/>
      <c r="X177" s="5" t="n">
        <v>0</v>
      </c>
      <c r="Y177" s="5" t="n">
        <v>-13.35</v>
      </c>
    </row>
    <row r="178" customFormat="false" ht="12.8" hidden="false" customHeight="false" outlineLevel="0" collapsed="false">
      <c r="A178" s="3" t="n">
        <v>45986</v>
      </c>
      <c r="B178" s="1" t="s">
        <v>30</v>
      </c>
      <c r="C178" s="1" t="s">
        <v>309</v>
      </c>
      <c r="D178" s="3" t="n">
        <v>45981.628055555</v>
      </c>
      <c r="E178" s="1" t="s">
        <v>32</v>
      </c>
      <c r="F178" s="4" t="s">
        <v>306</v>
      </c>
      <c r="G178" s="1" t="s">
        <v>307</v>
      </c>
      <c r="H178" s="1" t="s">
        <v>308</v>
      </c>
      <c r="I178" s="4" t="n">
        <v>2</v>
      </c>
      <c r="J178" s="5" t="n">
        <v>2200</v>
      </c>
      <c r="K178" s="6" t="n">
        <v>0.41</v>
      </c>
      <c r="L178" s="5" t="n">
        <v>-902</v>
      </c>
      <c r="M178" s="5" t="n">
        <v>0</v>
      </c>
      <c r="N178" s="5" t="n">
        <v>-30</v>
      </c>
      <c r="O178" s="5" t="n">
        <v>0</v>
      </c>
      <c r="P178" s="5" t="n">
        <v>-10.88</v>
      </c>
      <c r="Q178" s="5" t="n">
        <v>0</v>
      </c>
      <c r="R178" s="5" t="n">
        <v>0</v>
      </c>
      <c r="S178" s="5" t="n">
        <v>0</v>
      </c>
      <c r="T178" s="5" t="n">
        <v>0</v>
      </c>
      <c r="U178" s="5" t="n">
        <v>-160</v>
      </c>
      <c r="V178" s="4"/>
      <c r="W178" s="4"/>
      <c r="X178" s="5" t="n">
        <v>0</v>
      </c>
      <c r="Y178" s="5" t="n">
        <v>1097.12</v>
      </c>
    </row>
    <row r="179" customFormat="false" ht="12.8" hidden="false" customHeight="false" outlineLevel="0" collapsed="false">
      <c r="A179" s="3" t="n">
        <v>45986</v>
      </c>
      <c r="B179" s="1" t="s">
        <v>30</v>
      </c>
      <c r="C179" s="1" t="s">
        <v>310</v>
      </c>
      <c r="D179" s="3" t="n">
        <v>45980.786412037</v>
      </c>
      <c r="E179" s="1" t="s">
        <v>32</v>
      </c>
      <c r="F179" s="4" t="s">
        <v>306</v>
      </c>
      <c r="G179" s="1" t="s">
        <v>307</v>
      </c>
      <c r="H179" s="1" t="s">
        <v>308</v>
      </c>
      <c r="I179" s="4" t="n">
        <v>1</v>
      </c>
      <c r="J179" s="5" t="n">
        <v>1100</v>
      </c>
      <c r="K179" s="6" t="n">
        <v>0.44</v>
      </c>
      <c r="L179" s="5" t="n">
        <v>-484</v>
      </c>
      <c r="M179" s="5" t="n">
        <v>0</v>
      </c>
      <c r="N179" s="5" t="n">
        <v>-30</v>
      </c>
      <c r="O179" s="5" t="n">
        <v>0</v>
      </c>
      <c r="P179" s="5" t="n">
        <v>-5.38</v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-80</v>
      </c>
      <c r="V179" s="4"/>
      <c r="W179" s="4"/>
      <c r="X179" s="5" t="n">
        <v>0</v>
      </c>
      <c r="Y179" s="5" t="n">
        <v>500.62</v>
      </c>
    </row>
    <row r="180" customFormat="false" ht="12.8" hidden="false" customHeight="false" outlineLevel="0" collapsed="false">
      <c r="A180" s="3" t="n">
        <v>45986</v>
      </c>
      <c r="B180" s="1" t="s">
        <v>25</v>
      </c>
      <c r="C180" s="1" t="s">
        <v>310</v>
      </c>
      <c r="D180" s="3" t="n">
        <v>45980.786412037</v>
      </c>
      <c r="F180" s="4" t="s">
        <v>306</v>
      </c>
      <c r="G180" s="1" t="s">
        <v>307</v>
      </c>
      <c r="H180" s="1" t="s">
        <v>308</v>
      </c>
      <c r="I180" s="4" t="n">
        <v>1</v>
      </c>
      <c r="J180" s="5" t="n">
        <v>0</v>
      </c>
      <c r="K180" s="6" t="n">
        <v>0</v>
      </c>
      <c r="L180" s="5" t="n">
        <v>0</v>
      </c>
      <c r="M180" s="5" t="n">
        <v>0</v>
      </c>
      <c r="N180" s="5" t="n">
        <v>0</v>
      </c>
      <c r="O180" s="5" t="n">
        <v>0</v>
      </c>
      <c r="P180" s="5" t="n">
        <v>0</v>
      </c>
      <c r="Q180" s="5" t="n">
        <v>0</v>
      </c>
      <c r="R180" s="5" t="n">
        <v>0</v>
      </c>
      <c r="S180" s="5" t="n">
        <v>0</v>
      </c>
      <c r="T180" s="5" t="n">
        <v>0</v>
      </c>
      <c r="U180" s="5" t="n">
        <v>0</v>
      </c>
      <c r="V180" s="4"/>
      <c r="W180" s="4"/>
      <c r="X180" s="5" t="n">
        <v>0</v>
      </c>
      <c r="Y180" s="5" t="n">
        <v>-14.23</v>
      </c>
    </row>
    <row r="181" customFormat="false" ht="12.8" hidden="false" customHeight="false" outlineLevel="0" collapsed="false">
      <c r="A181" s="3" t="n">
        <v>45987</v>
      </c>
      <c r="B181" s="1" t="s">
        <v>25</v>
      </c>
      <c r="C181" s="1" t="s">
        <v>311</v>
      </c>
      <c r="D181" s="3" t="n">
        <v>45987.736898148</v>
      </c>
      <c r="F181" s="4" t="s">
        <v>306</v>
      </c>
      <c r="G181" s="1" t="s">
        <v>307</v>
      </c>
      <c r="H181" s="1" t="s">
        <v>308</v>
      </c>
      <c r="I181" s="4" t="n">
        <v>1</v>
      </c>
      <c r="J181" s="5" t="n">
        <v>0</v>
      </c>
      <c r="K181" s="6" t="n">
        <v>0</v>
      </c>
      <c r="L181" s="5" t="n">
        <v>0</v>
      </c>
      <c r="M181" s="5" t="n">
        <v>0</v>
      </c>
      <c r="N181" s="5" t="n">
        <v>0</v>
      </c>
      <c r="O181" s="5" t="n">
        <v>0</v>
      </c>
      <c r="P181" s="5" t="n">
        <v>0</v>
      </c>
      <c r="Q181" s="5" t="n">
        <v>0</v>
      </c>
      <c r="R181" s="5" t="n">
        <v>0</v>
      </c>
      <c r="S181" s="5" t="n">
        <v>0</v>
      </c>
      <c r="T181" s="5" t="n">
        <v>0</v>
      </c>
      <c r="U181" s="5" t="n">
        <v>0</v>
      </c>
      <c r="V181" s="4"/>
      <c r="W181" s="4"/>
      <c r="X181" s="5" t="n">
        <v>0</v>
      </c>
      <c r="Y181" s="5" t="n">
        <v>-14.55</v>
      </c>
    </row>
    <row r="182" customFormat="false" ht="12.8" hidden="false" customHeight="false" outlineLevel="0" collapsed="false">
      <c r="A182" s="3" t="n">
        <v>45985</v>
      </c>
      <c r="B182" s="1" t="s">
        <v>30</v>
      </c>
      <c r="C182" s="1" t="s">
        <v>312</v>
      </c>
      <c r="D182" s="3" t="n">
        <v>45976.665185185</v>
      </c>
      <c r="E182" s="1" t="s">
        <v>32</v>
      </c>
      <c r="F182" s="4" t="s">
        <v>313</v>
      </c>
      <c r="G182" s="1" t="s">
        <v>314</v>
      </c>
      <c r="H182" s="1" t="s">
        <v>315</v>
      </c>
      <c r="I182" s="4" t="n">
        <v>1</v>
      </c>
      <c r="J182" s="5" t="n">
        <v>3200</v>
      </c>
      <c r="K182" s="6" t="n">
        <v>0.44</v>
      </c>
      <c r="L182" s="5" t="n">
        <v>-1408</v>
      </c>
      <c r="M182" s="5" t="n">
        <v>0</v>
      </c>
      <c r="N182" s="5" t="n">
        <v>-30</v>
      </c>
      <c r="O182" s="5" t="n">
        <v>0</v>
      </c>
      <c r="P182" s="5" t="n">
        <v>-19.53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-139</v>
      </c>
      <c r="V182" s="4"/>
      <c r="W182" s="4"/>
      <c r="X182" s="5" t="n">
        <v>0</v>
      </c>
      <c r="Y182" s="5" t="n">
        <v>1603.47</v>
      </c>
    </row>
    <row r="183" customFormat="false" ht="12.8" hidden="false" customHeight="false" outlineLevel="0" collapsed="false">
      <c r="A183" s="3" t="n">
        <v>45985</v>
      </c>
      <c r="B183" s="1" t="s">
        <v>25</v>
      </c>
      <c r="C183" s="1" t="s">
        <v>312</v>
      </c>
      <c r="D183" s="3" t="n">
        <v>45976.665185185</v>
      </c>
      <c r="F183" s="4" t="s">
        <v>313</v>
      </c>
      <c r="G183" s="1" t="s">
        <v>314</v>
      </c>
      <c r="H183" s="1" t="s">
        <v>315</v>
      </c>
      <c r="I183" s="4" t="n">
        <v>1</v>
      </c>
      <c r="J183" s="5" t="n">
        <v>0</v>
      </c>
      <c r="K183" s="6" t="n">
        <v>0</v>
      </c>
      <c r="L183" s="5" t="n">
        <v>0</v>
      </c>
      <c r="M183" s="5" t="n">
        <v>0</v>
      </c>
      <c r="N183" s="5" t="n">
        <v>0</v>
      </c>
      <c r="O183" s="5" t="n">
        <v>0</v>
      </c>
      <c r="P183" s="5" t="n">
        <v>0</v>
      </c>
      <c r="Q183" s="5" t="n">
        <v>0</v>
      </c>
      <c r="R183" s="5" t="n">
        <v>0</v>
      </c>
      <c r="S183" s="5" t="n">
        <v>0</v>
      </c>
      <c r="T183" s="5" t="n">
        <v>0</v>
      </c>
      <c r="U183" s="5" t="n">
        <v>0</v>
      </c>
      <c r="V183" s="4"/>
      <c r="W183" s="4"/>
      <c r="X183" s="5" t="n">
        <v>0</v>
      </c>
      <c r="Y183" s="5" t="n">
        <v>-38</v>
      </c>
    </row>
    <row r="184" customFormat="false" ht="12.8" hidden="false" customHeight="false" outlineLevel="0" collapsed="false">
      <c r="A184" s="3" t="n">
        <v>45986</v>
      </c>
      <c r="B184" s="1" t="s">
        <v>25</v>
      </c>
      <c r="C184" s="1" t="s">
        <v>316</v>
      </c>
      <c r="D184" s="3" t="n">
        <v>45986.485046296</v>
      </c>
      <c r="F184" s="4" t="s">
        <v>313</v>
      </c>
      <c r="G184" s="1" t="s">
        <v>314</v>
      </c>
      <c r="H184" s="1" t="s">
        <v>315</v>
      </c>
      <c r="I184" s="4" t="n">
        <v>1</v>
      </c>
      <c r="J184" s="5" t="n">
        <v>0</v>
      </c>
      <c r="K184" s="6" t="n">
        <v>0</v>
      </c>
      <c r="L184" s="5" t="n">
        <v>0</v>
      </c>
      <c r="M184" s="5" t="n">
        <v>0</v>
      </c>
      <c r="N184" s="5" t="n">
        <v>0</v>
      </c>
      <c r="O184" s="5" t="n">
        <v>0</v>
      </c>
      <c r="P184" s="5" t="n">
        <v>0</v>
      </c>
      <c r="Q184" s="5" t="n">
        <v>0</v>
      </c>
      <c r="R184" s="5" t="n">
        <v>0</v>
      </c>
      <c r="S184" s="5" t="n">
        <v>0</v>
      </c>
      <c r="T184" s="5" t="n">
        <v>0</v>
      </c>
      <c r="U184" s="5" t="n">
        <v>0</v>
      </c>
      <c r="V184" s="4"/>
      <c r="W184" s="4"/>
      <c r="X184" s="5" t="n">
        <v>0</v>
      </c>
      <c r="Y184" s="5" t="n">
        <v>-43.74</v>
      </c>
    </row>
    <row r="185" customFormat="false" ht="12.8" hidden="false" customHeight="false" outlineLevel="0" collapsed="false">
      <c r="A185" s="3" t="n">
        <v>45991</v>
      </c>
      <c r="B185" s="1" t="s">
        <v>30</v>
      </c>
      <c r="C185" s="1" t="s">
        <v>317</v>
      </c>
      <c r="D185" s="3" t="n">
        <v>45986.485046296</v>
      </c>
      <c r="E185" s="1" t="s">
        <v>32</v>
      </c>
      <c r="F185" s="4" t="s">
        <v>313</v>
      </c>
      <c r="G185" s="1" t="s">
        <v>314</v>
      </c>
      <c r="H185" s="1" t="s">
        <v>315</v>
      </c>
      <c r="I185" s="4" t="n">
        <v>1</v>
      </c>
      <c r="J185" s="5" t="n">
        <v>3200</v>
      </c>
      <c r="K185" s="6" t="n">
        <v>0.41</v>
      </c>
      <c r="L185" s="5" t="n">
        <v>-1312</v>
      </c>
      <c r="M185" s="5" t="n">
        <v>0</v>
      </c>
      <c r="N185" s="5" t="n">
        <v>-30</v>
      </c>
      <c r="O185" s="5" t="n">
        <v>0</v>
      </c>
      <c r="P185" s="5" t="n">
        <v>-12.33</v>
      </c>
      <c r="Q185" s="5" t="n">
        <v>0</v>
      </c>
      <c r="R185" s="5" t="n">
        <v>0</v>
      </c>
      <c r="S185" s="5" t="n">
        <v>0</v>
      </c>
      <c r="T185" s="5" t="n">
        <v>0</v>
      </c>
      <c r="U185" s="5" t="n">
        <v>-139</v>
      </c>
      <c r="V185" s="4"/>
      <c r="W185" s="4"/>
      <c r="X185" s="5" t="n">
        <v>0</v>
      </c>
      <c r="Y185" s="5" t="n">
        <v>1706.67</v>
      </c>
    </row>
    <row r="186" customFormat="false" ht="12.8" hidden="false" customHeight="false" outlineLevel="0" collapsed="false">
      <c r="A186" s="3" t="n">
        <v>45987</v>
      </c>
      <c r="B186" s="1" t="s">
        <v>25</v>
      </c>
      <c r="C186" s="1" t="s">
        <v>318</v>
      </c>
      <c r="D186" s="3" t="n">
        <v>45987.608020833</v>
      </c>
      <c r="F186" s="4" t="s">
        <v>319</v>
      </c>
      <c r="G186" s="1" t="s">
        <v>320</v>
      </c>
      <c r="H186" s="1" t="s">
        <v>321</v>
      </c>
      <c r="I186" s="4" t="n">
        <v>2</v>
      </c>
      <c r="J186" s="5" t="n">
        <v>0</v>
      </c>
      <c r="K186" s="6" t="n">
        <v>0</v>
      </c>
      <c r="L186" s="5" t="n">
        <v>0</v>
      </c>
      <c r="M186" s="5" t="n">
        <v>0</v>
      </c>
      <c r="N186" s="5" t="n">
        <v>0</v>
      </c>
      <c r="O186" s="5" t="n">
        <v>0</v>
      </c>
      <c r="P186" s="5" t="n">
        <v>0</v>
      </c>
      <c r="Q186" s="5" t="n">
        <v>0</v>
      </c>
      <c r="R186" s="5" t="n">
        <v>0</v>
      </c>
      <c r="S186" s="5" t="n">
        <v>0</v>
      </c>
      <c r="T186" s="5" t="n">
        <v>0</v>
      </c>
      <c r="U186" s="5" t="n">
        <v>0</v>
      </c>
      <c r="V186" s="4"/>
      <c r="W186" s="4"/>
      <c r="X186" s="5" t="n">
        <v>0</v>
      </c>
      <c r="Y186" s="5" t="n">
        <v>-72.46</v>
      </c>
    </row>
    <row r="187" customFormat="false" ht="12.8" hidden="false" customHeight="false" outlineLevel="0" collapsed="false">
      <c r="A187" s="3" t="n">
        <v>45986</v>
      </c>
      <c r="B187" s="1" t="s">
        <v>25</v>
      </c>
      <c r="C187" s="1" t="s">
        <v>322</v>
      </c>
      <c r="D187" s="3" t="n">
        <v>45986.018263888</v>
      </c>
      <c r="F187" s="4" t="s">
        <v>323</v>
      </c>
      <c r="G187" s="1" t="s">
        <v>324</v>
      </c>
      <c r="H187" s="1" t="s">
        <v>325</v>
      </c>
      <c r="I187" s="4" t="n">
        <v>1</v>
      </c>
      <c r="J187" s="5" t="n">
        <v>0</v>
      </c>
      <c r="K187" s="6" t="n">
        <v>0</v>
      </c>
      <c r="L187" s="5" t="n">
        <v>0</v>
      </c>
      <c r="M187" s="5" t="n">
        <v>0</v>
      </c>
      <c r="N187" s="5" t="n">
        <v>0</v>
      </c>
      <c r="O187" s="5" t="n">
        <v>0</v>
      </c>
      <c r="P187" s="5" t="n">
        <v>0</v>
      </c>
      <c r="Q187" s="5" t="n">
        <v>0</v>
      </c>
      <c r="R187" s="5" t="n">
        <v>0</v>
      </c>
      <c r="S187" s="5" t="n">
        <v>0</v>
      </c>
      <c r="T187" s="5" t="n">
        <v>0</v>
      </c>
      <c r="U187" s="5" t="n">
        <v>0</v>
      </c>
      <c r="V187" s="4"/>
      <c r="W187" s="4"/>
      <c r="X187" s="5" t="n">
        <v>0</v>
      </c>
      <c r="Y187" s="5" t="n">
        <v>-7.06</v>
      </c>
    </row>
    <row r="188" customFormat="false" ht="12.8" hidden="false" customHeight="false" outlineLevel="0" collapsed="false">
      <c r="A188" s="3" t="n">
        <v>45991</v>
      </c>
      <c r="B188" s="1" t="s">
        <v>30</v>
      </c>
      <c r="C188" s="1" t="s">
        <v>326</v>
      </c>
      <c r="D188" s="3" t="n">
        <v>45986.018263888</v>
      </c>
      <c r="E188" s="1" t="s">
        <v>32</v>
      </c>
      <c r="F188" s="4" t="s">
        <v>323</v>
      </c>
      <c r="G188" s="1" t="s">
        <v>324</v>
      </c>
      <c r="H188" s="1" t="s">
        <v>325</v>
      </c>
      <c r="I188" s="4" t="n">
        <v>1</v>
      </c>
      <c r="J188" s="5" t="n">
        <v>618</v>
      </c>
      <c r="K188" s="6" t="n">
        <v>0.41</v>
      </c>
      <c r="L188" s="5" t="n">
        <v>-253.38</v>
      </c>
      <c r="M188" s="5" t="n">
        <v>0</v>
      </c>
      <c r="N188" s="5" t="n">
        <v>-30</v>
      </c>
      <c r="O188" s="5" t="n">
        <v>0</v>
      </c>
      <c r="P188" s="5" t="n">
        <v>-10.2</v>
      </c>
      <c r="Q188" s="5" t="n">
        <v>0</v>
      </c>
      <c r="R188" s="5" t="n">
        <v>0</v>
      </c>
      <c r="S188" s="5" t="n">
        <v>0</v>
      </c>
      <c r="T188" s="5" t="n">
        <v>0</v>
      </c>
      <c r="U188" s="5" t="n">
        <v>-80</v>
      </c>
      <c r="V188" s="4"/>
      <c r="W188" s="4"/>
      <c r="X188" s="5" t="n">
        <v>0</v>
      </c>
      <c r="Y188" s="5" t="n">
        <v>244.42</v>
      </c>
    </row>
    <row r="189" customFormat="false" ht="12.8" hidden="false" customHeight="false" outlineLevel="0" collapsed="false">
      <c r="A189" s="3" t="n">
        <v>45989</v>
      </c>
      <c r="B189" s="1" t="s">
        <v>30</v>
      </c>
      <c r="C189" s="1" t="s">
        <v>327</v>
      </c>
      <c r="D189" s="3" t="n">
        <v>45987.260300925</v>
      </c>
      <c r="E189" s="1" t="s">
        <v>32</v>
      </c>
      <c r="F189" s="4" t="s">
        <v>328</v>
      </c>
      <c r="G189" s="1" t="s">
        <v>329</v>
      </c>
      <c r="H189" s="1" t="s">
        <v>330</v>
      </c>
      <c r="I189" s="4" t="n">
        <v>1</v>
      </c>
      <c r="J189" s="5" t="n">
        <v>1700</v>
      </c>
      <c r="K189" s="6" t="n">
        <v>0.41</v>
      </c>
      <c r="L189" s="5" t="n">
        <v>-697</v>
      </c>
      <c r="M189" s="5" t="n">
        <v>0</v>
      </c>
      <c r="N189" s="5" t="n">
        <v>-30</v>
      </c>
      <c r="O189" s="5" t="n">
        <v>0</v>
      </c>
      <c r="P189" s="5" t="n">
        <v>-8.93</v>
      </c>
      <c r="Q189" s="5" t="n">
        <v>0</v>
      </c>
      <c r="R189" s="5" t="n">
        <v>0</v>
      </c>
      <c r="S189" s="5" t="n">
        <v>0</v>
      </c>
      <c r="T189" s="5" t="n">
        <v>0</v>
      </c>
      <c r="U189" s="5" t="n">
        <v>-80</v>
      </c>
      <c r="V189" s="4"/>
      <c r="W189" s="4"/>
      <c r="X189" s="5" t="n">
        <v>0</v>
      </c>
      <c r="Y189" s="5" t="n">
        <v>884.07</v>
      </c>
    </row>
    <row r="190" customFormat="false" ht="12.8" hidden="false" customHeight="false" outlineLevel="0" collapsed="false">
      <c r="A190" s="3" t="n">
        <v>45989</v>
      </c>
      <c r="B190" s="1" t="s">
        <v>25</v>
      </c>
      <c r="C190" s="1" t="s">
        <v>327</v>
      </c>
      <c r="D190" s="3" t="n">
        <v>45987.260300925</v>
      </c>
      <c r="F190" s="4" t="s">
        <v>328</v>
      </c>
      <c r="G190" s="1" t="s">
        <v>329</v>
      </c>
      <c r="H190" s="1" t="s">
        <v>330</v>
      </c>
      <c r="I190" s="4" t="n">
        <v>1</v>
      </c>
      <c r="J190" s="5" t="n">
        <v>0</v>
      </c>
      <c r="K190" s="6" t="n">
        <v>0</v>
      </c>
      <c r="L190" s="5" t="n">
        <v>0</v>
      </c>
      <c r="M190" s="5" t="n">
        <v>0</v>
      </c>
      <c r="N190" s="5" t="n">
        <v>0</v>
      </c>
      <c r="O190" s="5" t="n">
        <v>0</v>
      </c>
      <c r="P190" s="5" t="n">
        <v>0</v>
      </c>
      <c r="Q190" s="5" t="n">
        <v>0</v>
      </c>
      <c r="R190" s="5" t="n">
        <v>0</v>
      </c>
      <c r="S190" s="5" t="n">
        <v>0</v>
      </c>
      <c r="T190" s="5" t="n">
        <v>0</v>
      </c>
      <c r="U190" s="5" t="n">
        <v>0</v>
      </c>
      <c r="V190" s="4"/>
      <c r="W190" s="4"/>
      <c r="X190" s="5" t="n">
        <v>0</v>
      </c>
      <c r="Y190" s="5" t="n">
        <v>-20.48</v>
      </c>
    </row>
    <row r="191" customFormat="false" ht="12.8" hidden="false" customHeight="false" outlineLevel="0" collapsed="false">
      <c r="A191" s="3" t="n">
        <v>45985</v>
      </c>
      <c r="B191" s="1" t="s">
        <v>30</v>
      </c>
      <c r="C191" s="1" t="s">
        <v>331</v>
      </c>
      <c r="D191" s="3" t="n">
        <v>45980.617939814</v>
      </c>
      <c r="E191" s="1" t="s">
        <v>32</v>
      </c>
      <c r="F191" s="4" t="s">
        <v>332</v>
      </c>
      <c r="G191" s="1" t="s">
        <v>333</v>
      </c>
      <c r="H191" s="1" t="s">
        <v>167</v>
      </c>
      <c r="I191" s="4" t="n">
        <v>1</v>
      </c>
      <c r="J191" s="5" t="n">
        <v>745</v>
      </c>
      <c r="K191" s="6" t="n">
        <v>0.41</v>
      </c>
      <c r="L191" s="5" t="n">
        <v>-305.45</v>
      </c>
      <c r="M191" s="5" t="n">
        <v>0</v>
      </c>
      <c r="N191" s="5" t="n">
        <v>-30</v>
      </c>
      <c r="O191" s="5" t="n">
        <v>0</v>
      </c>
      <c r="P191" s="5" t="n">
        <v>-6.34</v>
      </c>
      <c r="Q191" s="5" t="n">
        <v>0</v>
      </c>
      <c r="R191" s="5" t="n">
        <v>0</v>
      </c>
      <c r="S191" s="5" t="n">
        <v>0</v>
      </c>
      <c r="T191" s="5" t="n">
        <v>0</v>
      </c>
      <c r="U191" s="5" t="n">
        <v>-80</v>
      </c>
      <c r="V191" s="4"/>
      <c r="W191" s="4"/>
      <c r="X191" s="5" t="n">
        <v>0</v>
      </c>
      <c r="Y191" s="5" t="n">
        <v>323.21</v>
      </c>
    </row>
    <row r="192" customFormat="false" ht="12.8" hidden="false" customHeight="false" outlineLevel="0" collapsed="false">
      <c r="A192" s="3" t="n">
        <v>45985</v>
      </c>
      <c r="B192" s="1" t="s">
        <v>25</v>
      </c>
      <c r="C192" s="1" t="s">
        <v>331</v>
      </c>
      <c r="D192" s="3" t="n">
        <v>45980.617939814</v>
      </c>
      <c r="F192" s="4" t="s">
        <v>332</v>
      </c>
      <c r="G192" s="1" t="s">
        <v>333</v>
      </c>
      <c r="H192" s="1" t="s">
        <v>167</v>
      </c>
      <c r="I192" s="4" t="n">
        <v>1</v>
      </c>
      <c r="J192" s="5" t="n">
        <v>0</v>
      </c>
      <c r="K192" s="6" t="n">
        <v>0</v>
      </c>
      <c r="L192" s="5" t="n">
        <v>0</v>
      </c>
      <c r="M192" s="5" t="n">
        <v>0</v>
      </c>
      <c r="N192" s="5" t="n">
        <v>0</v>
      </c>
      <c r="O192" s="5" t="n">
        <v>0</v>
      </c>
      <c r="P192" s="5" t="n">
        <v>0</v>
      </c>
      <c r="Q192" s="5" t="n">
        <v>0</v>
      </c>
      <c r="R192" s="5" t="n">
        <v>0</v>
      </c>
      <c r="S192" s="5" t="n">
        <v>0</v>
      </c>
      <c r="T192" s="5" t="n">
        <v>0</v>
      </c>
      <c r="U192" s="5" t="n">
        <v>0</v>
      </c>
      <c r="V192" s="4"/>
      <c r="W192" s="4"/>
      <c r="X192" s="5" t="n">
        <v>0</v>
      </c>
      <c r="Y192" s="5" t="n">
        <v>-8.67</v>
      </c>
    </row>
    <row r="193" customFormat="false" ht="12.8" hidden="false" customHeight="false" outlineLevel="0" collapsed="false">
      <c r="A193" s="3" t="n">
        <v>45985</v>
      </c>
      <c r="B193" s="1" t="s">
        <v>30</v>
      </c>
      <c r="C193" s="1" t="s">
        <v>334</v>
      </c>
      <c r="D193" s="3" t="n">
        <v>45981.819386574</v>
      </c>
      <c r="E193" s="1" t="s">
        <v>32</v>
      </c>
      <c r="F193" s="4" t="s">
        <v>332</v>
      </c>
      <c r="G193" s="1" t="s">
        <v>333</v>
      </c>
      <c r="H193" s="1" t="s">
        <v>167</v>
      </c>
      <c r="I193" s="4" t="n">
        <v>1</v>
      </c>
      <c r="J193" s="5" t="n">
        <v>850</v>
      </c>
      <c r="K193" s="6" t="n">
        <v>0.44</v>
      </c>
      <c r="L193" s="5" t="n">
        <v>-374</v>
      </c>
      <c r="M193" s="5" t="n">
        <v>0</v>
      </c>
      <c r="N193" s="5" t="n">
        <v>-30</v>
      </c>
      <c r="O193" s="5" t="n">
        <v>0</v>
      </c>
      <c r="P193" s="5" t="n">
        <v>-3.32</v>
      </c>
      <c r="Q193" s="5" t="n">
        <v>0</v>
      </c>
      <c r="R193" s="5" t="n">
        <v>0</v>
      </c>
      <c r="S193" s="5" t="n">
        <v>0</v>
      </c>
      <c r="T193" s="5" t="n">
        <v>0</v>
      </c>
      <c r="U193" s="5" t="n">
        <v>-80</v>
      </c>
      <c r="V193" s="4"/>
      <c r="W193" s="4"/>
      <c r="X193" s="5" t="n">
        <v>0</v>
      </c>
      <c r="Y193" s="5" t="n">
        <v>362.68</v>
      </c>
    </row>
    <row r="194" customFormat="false" ht="12.8" hidden="false" customHeight="false" outlineLevel="0" collapsed="false">
      <c r="A194" s="3" t="n">
        <v>45986</v>
      </c>
      <c r="B194" s="1" t="s">
        <v>25</v>
      </c>
      <c r="C194" s="1" t="s">
        <v>335</v>
      </c>
      <c r="D194" s="3" t="n">
        <v>45986.38</v>
      </c>
      <c r="F194" s="4" t="s">
        <v>332</v>
      </c>
      <c r="G194" s="1" t="s">
        <v>333</v>
      </c>
      <c r="H194" s="1" t="s">
        <v>167</v>
      </c>
      <c r="I194" s="4" t="n">
        <v>1</v>
      </c>
      <c r="J194" s="5" t="n">
        <v>0</v>
      </c>
      <c r="K194" s="6" t="n">
        <v>0</v>
      </c>
      <c r="L194" s="5" t="n">
        <v>0</v>
      </c>
      <c r="M194" s="5" t="n">
        <v>0</v>
      </c>
      <c r="N194" s="5" t="n">
        <v>0</v>
      </c>
      <c r="O194" s="5" t="n">
        <v>0</v>
      </c>
      <c r="P194" s="5" t="n">
        <v>0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4"/>
      <c r="W194" s="4"/>
      <c r="X194" s="5" t="n">
        <v>0</v>
      </c>
      <c r="Y194" s="5" t="n">
        <v>-10.62</v>
      </c>
    </row>
    <row r="195" customFormat="false" ht="12.8" hidden="false" customHeight="false" outlineLevel="0" collapsed="false">
      <c r="A195" s="3" t="n">
        <v>45986</v>
      </c>
      <c r="B195" s="1" t="s">
        <v>30</v>
      </c>
      <c r="C195" s="1" t="s">
        <v>336</v>
      </c>
      <c r="D195" s="3" t="n">
        <v>45979.308055555</v>
      </c>
      <c r="E195" s="1" t="s">
        <v>32</v>
      </c>
      <c r="F195" s="4" t="s">
        <v>332</v>
      </c>
      <c r="G195" s="1" t="s">
        <v>333</v>
      </c>
      <c r="H195" s="1" t="s">
        <v>167</v>
      </c>
      <c r="I195" s="4" t="n">
        <v>1</v>
      </c>
      <c r="J195" s="5" t="n">
        <v>745</v>
      </c>
      <c r="K195" s="6" t="n">
        <v>0.41</v>
      </c>
      <c r="L195" s="5" t="n">
        <v>-305.45</v>
      </c>
      <c r="M195" s="5" t="n">
        <v>0</v>
      </c>
      <c r="N195" s="5" t="n">
        <v>-30</v>
      </c>
      <c r="O195" s="5" t="n">
        <v>0</v>
      </c>
      <c r="P195" s="5" t="n">
        <v>-8.96</v>
      </c>
      <c r="Q195" s="5" t="n">
        <v>0</v>
      </c>
      <c r="R195" s="5" t="n">
        <v>0</v>
      </c>
      <c r="S195" s="5" t="n">
        <v>0</v>
      </c>
      <c r="T195" s="5" t="n">
        <v>0</v>
      </c>
      <c r="U195" s="5" t="n">
        <v>-80</v>
      </c>
      <c r="V195" s="4"/>
      <c r="W195" s="4"/>
      <c r="X195" s="5" t="n">
        <v>0</v>
      </c>
      <c r="Y195" s="5" t="n">
        <v>320.59</v>
      </c>
    </row>
    <row r="196" customFormat="false" ht="12.8" hidden="false" customHeight="false" outlineLevel="0" collapsed="false">
      <c r="A196" s="3" t="n">
        <v>45986</v>
      </c>
      <c r="B196" s="1" t="s">
        <v>30</v>
      </c>
      <c r="C196" s="1" t="s">
        <v>337</v>
      </c>
      <c r="D196" s="3" t="n">
        <v>45982.469456018</v>
      </c>
      <c r="E196" s="1" t="s">
        <v>32</v>
      </c>
      <c r="F196" s="4" t="s">
        <v>332</v>
      </c>
      <c r="G196" s="1" t="s">
        <v>333</v>
      </c>
      <c r="H196" s="1" t="s">
        <v>167</v>
      </c>
      <c r="I196" s="4" t="n">
        <v>1</v>
      </c>
      <c r="J196" s="5" t="n">
        <v>850</v>
      </c>
      <c r="K196" s="6" t="n">
        <v>0.41</v>
      </c>
      <c r="L196" s="5" t="n">
        <v>-348.5</v>
      </c>
      <c r="M196" s="5" t="n">
        <v>0</v>
      </c>
      <c r="N196" s="5" t="n">
        <v>-30</v>
      </c>
      <c r="O196" s="5" t="n">
        <v>0</v>
      </c>
      <c r="P196" s="5" t="n">
        <v>-4.79</v>
      </c>
      <c r="Q196" s="5" t="n">
        <v>0</v>
      </c>
      <c r="R196" s="5" t="n">
        <v>0</v>
      </c>
      <c r="S196" s="5" t="n">
        <v>0</v>
      </c>
      <c r="T196" s="5" t="n">
        <v>0</v>
      </c>
      <c r="U196" s="5" t="n">
        <v>-80</v>
      </c>
      <c r="V196" s="4"/>
      <c r="W196" s="4"/>
      <c r="X196" s="5" t="n">
        <v>0</v>
      </c>
      <c r="Y196" s="5" t="n">
        <v>386.71</v>
      </c>
    </row>
    <row r="197" customFormat="false" ht="12.8" hidden="false" customHeight="false" outlineLevel="0" collapsed="false">
      <c r="A197" s="3" t="n">
        <v>45986</v>
      </c>
      <c r="B197" s="1" t="s">
        <v>30</v>
      </c>
      <c r="C197" s="1" t="s">
        <v>338</v>
      </c>
      <c r="D197" s="3" t="n">
        <v>45980.59974537</v>
      </c>
      <c r="E197" s="1" t="s">
        <v>32</v>
      </c>
      <c r="F197" s="4" t="s">
        <v>332</v>
      </c>
      <c r="G197" s="1" t="s">
        <v>333</v>
      </c>
      <c r="H197" s="1" t="s">
        <v>167</v>
      </c>
      <c r="I197" s="4" t="n">
        <v>1</v>
      </c>
      <c r="J197" s="5" t="n">
        <v>745</v>
      </c>
      <c r="K197" s="6" t="n">
        <v>0.41</v>
      </c>
      <c r="L197" s="5" t="n">
        <v>-305.45</v>
      </c>
      <c r="M197" s="5" t="n">
        <v>0</v>
      </c>
      <c r="N197" s="5" t="n">
        <v>-30</v>
      </c>
      <c r="O197" s="5" t="n">
        <v>0</v>
      </c>
      <c r="P197" s="5" t="n">
        <v>-3.31</v>
      </c>
      <c r="Q197" s="5" t="n">
        <v>0</v>
      </c>
      <c r="R197" s="5" t="n">
        <v>0</v>
      </c>
      <c r="S197" s="5" t="n">
        <v>0</v>
      </c>
      <c r="T197" s="5" t="n">
        <v>0</v>
      </c>
      <c r="U197" s="5" t="n">
        <v>-80</v>
      </c>
      <c r="V197" s="4"/>
      <c r="W197" s="4"/>
      <c r="X197" s="5" t="n">
        <v>0</v>
      </c>
      <c r="Y197" s="5" t="n">
        <v>326.24</v>
      </c>
    </row>
    <row r="198" customFormat="false" ht="12.8" hidden="false" customHeight="false" outlineLevel="0" collapsed="false">
      <c r="A198" s="3" t="n">
        <v>45986</v>
      </c>
      <c r="B198" s="1" t="s">
        <v>25</v>
      </c>
      <c r="C198" s="1" t="s">
        <v>338</v>
      </c>
      <c r="D198" s="3" t="n">
        <v>45980.59974537</v>
      </c>
      <c r="F198" s="4" t="s">
        <v>332</v>
      </c>
      <c r="G198" s="1" t="s">
        <v>333</v>
      </c>
      <c r="H198" s="1" t="s">
        <v>167</v>
      </c>
      <c r="I198" s="4" t="n">
        <v>1</v>
      </c>
      <c r="J198" s="5" t="n">
        <v>0</v>
      </c>
      <c r="K198" s="6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0</v>
      </c>
      <c r="Q198" s="5" t="n">
        <v>0</v>
      </c>
      <c r="R198" s="5" t="n">
        <v>0</v>
      </c>
      <c r="S198" s="5" t="n">
        <v>0</v>
      </c>
      <c r="T198" s="5" t="n">
        <v>0</v>
      </c>
      <c r="U198" s="5" t="n">
        <v>0</v>
      </c>
      <c r="V198" s="4"/>
      <c r="W198" s="4"/>
      <c r="X198" s="5" t="n">
        <v>0</v>
      </c>
      <c r="Y198" s="5" t="n">
        <v>-8.66</v>
      </c>
    </row>
    <row r="199" customFormat="false" ht="12.8" hidden="false" customHeight="false" outlineLevel="0" collapsed="false">
      <c r="A199" s="3" t="n">
        <v>45986</v>
      </c>
      <c r="B199" s="1" t="s">
        <v>25</v>
      </c>
      <c r="C199" s="1" t="s">
        <v>339</v>
      </c>
      <c r="D199" s="3" t="n">
        <v>45982.869976851</v>
      </c>
      <c r="F199" s="4" t="s">
        <v>332</v>
      </c>
      <c r="G199" s="1" t="s">
        <v>333</v>
      </c>
      <c r="H199" s="1" t="s">
        <v>167</v>
      </c>
      <c r="I199" s="4" t="n">
        <v>2</v>
      </c>
      <c r="J199" s="5" t="n">
        <v>0</v>
      </c>
      <c r="K199" s="6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0</v>
      </c>
      <c r="Q199" s="5" t="n">
        <v>0</v>
      </c>
      <c r="R199" s="5" t="n">
        <v>0</v>
      </c>
      <c r="S199" s="5" t="n">
        <v>0</v>
      </c>
      <c r="T199" s="5" t="n">
        <v>0</v>
      </c>
      <c r="U199" s="5" t="n">
        <v>0</v>
      </c>
      <c r="V199" s="4"/>
      <c r="W199" s="4"/>
      <c r="X199" s="5" t="n">
        <v>0</v>
      </c>
      <c r="Y199" s="5" t="n">
        <v>19.66</v>
      </c>
    </row>
    <row r="200" customFormat="false" ht="12.8" hidden="false" customHeight="false" outlineLevel="0" collapsed="false">
      <c r="A200" s="3" t="n">
        <v>45988</v>
      </c>
      <c r="B200" s="1" t="s">
        <v>43</v>
      </c>
      <c r="C200" s="1" t="s">
        <v>340</v>
      </c>
      <c r="D200" s="3" t="n">
        <v>45982.869976851</v>
      </c>
      <c r="E200" s="1" t="s">
        <v>32</v>
      </c>
      <c r="F200" s="4" t="s">
        <v>332</v>
      </c>
      <c r="G200" s="1" t="s">
        <v>333</v>
      </c>
      <c r="H200" s="1" t="s">
        <v>167</v>
      </c>
      <c r="I200" s="4" t="n">
        <v>2</v>
      </c>
      <c r="J200" s="5" t="n">
        <v>0</v>
      </c>
      <c r="K200" s="6" t="n">
        <v>0</v>
      </c>
      <c r="L200" s="5" t="n">
        <v>0</v>
      </c>
      <c r="M200" s="5" t="n">
        <v>0</v>
      </c>
      <c r="N200" s="5" t="n">
        <v>-30</v>
      </c>
      <c r="O200" s="5" t="n">
        <v>0</v>
      </c>
      <c r="P200" s="5" t="n">
        <v>0</v>
      </c>
      <c r="Q200" s="5" t="n">
        <v>0</v>
      </c>
      <c r="R200" s="5" t="n">
        <v>0</v>
      </c>
      <c r="S200" s="5" t="n">
        <v>0</v>
      </c>
      <c r="T200" s="5" t="n">
        <v>0</v>
      </c>
      <c r="U200" s="5" t="n">
        <v>-160</v>
      </c>
      <c r="V200" s="4"/>
      <c r="W200" s="4"/>
      <c r="X200" s="5" t="n">
        <v>0</v>
      </c>
      <c r="Y200" s="5" t="n">
        <v>-190</v>
      </c>
    </row>
    <row r="201" customFormat="false" ht="12.8" hidden="false" customHeight="false" outlineLevel="0" collapsed="false">
      <c r="A201" s="3" t="n">
        <v>45988</v>
      </c>
      <c r="B201" s="1" t="s">
        <v>43</v>
      </c>
      <c r="C201" s="1" t="s">
        <v>340</v>
      </c>
      <c r="D201" s="3" t="n">
        <v>45982.869976851</v>
      </c>
      <c r="E201" s="1" t="s">
        <v>32</v>
      </c>
      <c r="F201" s="4" t="s">
        <v>332</v>
      </c>
      <c r="G201" s="1" t="s">
        <v>333</v>
      </c>
      <c r="H201" s="1" t="s">
        <v>167</v>
      </c>
      <c r="I201" s="4" t="n">
        <v>2</v>
      </c>
      <c r="J201" s="5" t="n">
        <v>0</v>
      </c>
      <c r="K201" s="6" t="n">
        <v>0</v>
      </c>
      <c r="L201" s="5" t="n">
        <v>0</v>
      </c>
      <c r="M201" s="5" t="n">
        <v>0</v>
      </c>
      <c r="N201" s="5" t="n">
        <v>0</v>
      </c>
      <c r="O201" s="5" t="n">
        <v>0</v>
      </c>
      <c r="P201" s="5" t="n">
        <v>0</v>
      </c>
      <c r="Q201" s="5" t="n">
        <v>0</v>
      </c>
      <c r="R201" s="5" t="n">
        <v>0</v>
      </c>
      <c r="S201" s="5" t="n">
        <v>0</v>
      </c>
      <c r="T201" s="5" t="n">
        <v>0</v>
      </c>
      <c r="U201" s="5" t="n">
        <v>0</v>
      </c>
      <c r="V201" s="4"/>
      <c r="W201" s="4"/>
      <c r="X201" s="5" t="n">
        <v>-92</v>
      </c>
      <c r="Y201" s="5" t="n">
        <v>-92</v>
      </c>
    </row>
    <row r="202" customFormat="false" ht="12.8" hidden="false" customHeight="false" outlineLevel="0" collapsed="false">
      <c r="A202" s="3" t="n">
        <v>45988</v>
      </c>
      <c r="B202" s="1" t="s">
        <v>25</v>
      </c>
      <c r="C202" s="1" t="s">
        <v>341</v>
      </c>
      <c r="D202" s="3" t="n">
        <v>45988.685706018</v>
      </c>
      <c r="F202" s="4" t="s">
        <v>332</v>
      </c>
      <c r="G202" s="1" t="s">
        <v>333</v>
      </c>
      <c r="H202" s="1" t="s">
        <v>167</v>
      </c>
      <c r="I202" s="4" t="n">
        <v>1</v>
      </c>
      <c r="J202" s="5" t="n">
        <v>0</v>
      </c>
      <c r="K202" s="6" t="n">
        <v>0</v>
      </c>
      <c r="L202" s="5" t="n">
        <v>0</v>
      </c>
      <c r="M202" s="5" t="n">
        <v>0</v>
      </c>
      <c r="N202" s="5" t="n">
        <v>0</v>
      </c>
      <c r="O202" s="5" t="n">
        <v>0</v>
      </c>
      <c r="P202" s="5" t="n">
        <v>0</v>
      </c>
      <c r="Q202" s="5" t="n">
        <v>0</v>
      </c>
      <c r="R202" s="5" t="n">
        <v>0</v>
      </c>
      <c r="S202" s="5" t="n">
        <v>0</v>
      </c>
      <c r="T202" s="5" t="n">
        <v>0</v>
      </c>
      <c r="U202" s="5" t="n">
        <v>0</v>
      </c>
      <c r="V202" s="4"/>
      <c r="W202" s="4"/>
      <c r="X202" s="5" t="n">
        <v>0</v>
      </c>
      <c r="Y202" s="5" t="n">
        <v>-11.72</v>
      </c>
    </row>
    <row r="203" customFormat="false" ht="12.8" hidden="false" customHeight="false" outlineLevel="0" collapsed="false">
      <c r="A203" s="3" t="n">
        <v>45988</v>
      </c>
      <c r="B203" s="1" t="s">
        <v>25</v>
      </c>
      <c r="C203" s="1" t="s">
        <v>342</v>
      </c>
      <c r="D203" s="3" t="n">
        <v>45988.719201388</v>
      </c>
      <c r="F203" s="4" t="s">
        <v>332</v>
      </c>
      <c r="G203" s="1" t="s">
        <v>333</v>
      </c>
      <c r="H203" s="1" t="s">
        <v>167</v>
      </c>
      <c r="I203" s="4" t="n">
        <v>1</v>
      </c>
      <c r="J203" s="5" t="n">
        <v>0</v>
      </c>
      <c r="K203" s="6" t="n">
        <v>0</v>
      </c>
      <c r="L203" s="5" t="n">
        <v>0</v>
      </c>
      <c r="M203" s="5" t="n">
        <v>0</v>
      </c>
      <c r="N203" s="5" t="n">
        <v>0</v>
      </c>
      <c r="O203" s="5" t="n">
        <v>0</v>
      </c>
      <c r="P203" s="5" t="n">
        <v>0</v>
      </c>
      <c r="Q203" s="5" t="n">
        <v>0</v>
      </c>
      <c r="R203" s="5" t="n">
        <v>0</v>
      </c>
      <c r="S203" s="5" t="n">
        <v>0</v>
      </c>
      <c r="T203" s="5" t="n">
        <v>0</v>
      </c>
      <c r="U203" s="5" t="n">
        <v>0</v>
      </c>
      <c r="V203" s="4"/>
      <c r="W203" s="4"/>
      <c r="X203" s="5" t="n">
        <v>0</v>
      </c>
      <c r="Y203" s="5" t="n">
        <v>-3.59</v>
      </c>
    </row>
    <row r="204" customFormat="false" ht="12.8" hidden="false" customHeight="false" outlineLevel="0" collapsed="false">
      <c r="A204" s="3" t="n">
        <v>45989</v>
      </c>
      <c r="B204" s="1" t="s">
        <v>30</v>
      </c>
      <c r="C204" s="1" t="s">
        <v>343</v>
      </c>
      <c r="D204" s="3" t="n">
        <v>45979.489976851</v>
      </c>
      <c r="E204" s="1" t="s">
        <v>32</v>
      </c>
      <c r="F204" s="4" t="s">
        <v>332</v>
      </c>
      <c r="G204" s="1" t="s">
        <v>333</v>
      </c>
      <c r="H204" s="1" t="s">
        <v>167</v>
      </c>
      <c r="I204" s="4" t="n">
        <v>1</v>
      </c>
      <c r="J204" s="5" t="n">
        <v>745</v>
      </c>
      <c r="K204" s="6" t="n">
        <v>0.41</v>
      </c>
      <c r="L204" s="5" t="n">
        <v>-305.45</v>
      </c>
      <c r="M204" s="5" t="n">
        <v>0</v>
      </c>
      <c r="N204" s="5" t="n">
        <v>-30</v>
      </c>
      <c r="O204" s="5" t="n">
        <v>0</v>
      </c>
      <c r="P204" s="5" t="n">
        <v>-4.01</v>
      </c>
      <c r="Q204" s="5" t="n">
        <v>0</v>
      </c>
      <c r="R204" s="5" t="n">
        <v>0</v>
      </c>
      <c r="S204" s="5" t="n">
        <v>0</v>
      </c>
      <c r="T204" s="5" t="n">
        <v>0</v>
      </c>
      <c r="U204" s="5" t="n">
        <v>-80</v>
      </c>
      <c r="V204" s="4"/>
      <c r="W204" s="4"/>
      <c r="X204" s="5" t="n">
        <v>0</v>
      </c>
      <c r="Y204" s="5" t="n">
        <v>325.54</v>
      </c>
    </row>
    <row r="205" customFormat="false" ht="12.8" hidden="false" customHeight="false" outlineLevel="0" collapsed="false">
      <c r="A205" s="3" t="n">
        <v>45989</v>
      </c>
      <c r="B205" s="1" t="s">
        <v>30</v>
      </c>
      <c r="C205" s="1" t="s">
        <v>344</v>
      </c>
      <c r="D205" s="3" t="n">
        <v>45981.318414351</v>
      </c>
      <c r="E205" s="1" t="s">
        <v>32</v>
      </c>
      <c r="F205" s="4" t="s">
        <v>332</v>
      </c>
      <c r="G205" s="1" t="s">
        <v>333</v>
      </c>
      <c r="H205" s="1" t="s">
        <v>167</v>
      </c>
      <c r="I205" s="4" t="n">
        <v>1</v>
      </c>
      <c r="J205" s="5" t="n">
        <v>850</v>
      </c>
      <c r="K205" s="6" t="n">
        <v>0.41</v>
      </c>
      <c r="L205" s="5" t="n">
        <v>-348.5</v>
      </c>
      <c r="M205" s="5" t="n">
        <v>0</v>
      </c>
      <c r="N205" s="5" t="n">
        <v>-30</v>
      </c>
      <c r="O205" s="5" t="n">
        <v>0</v>
      </c>
      <c r="P205" s="5" t="n">
        <v>-5.4</v>
      </c>
      <c r="Q205" s="5" t="n">
        <v>0</v>
      </c>
      <c r="R205" s="5" t="n">
        <v>0</v>
      </c>
      <c r="S205" s="5" t="n">
        <v>0</v>
      </c>
      <c r="T205" s="5" t="n">
        <v>0</v>
      </c>
      <c r="U205" s="5" t="n">
        <v>-80</v>
      </c>
      <c r="V205" s="4"/>
      <c r="W205" s="4"/>
      <c r="X205" s="5" t="n">
        <v>0</v>
      </c>
      <c r="Y205" s="5" t="n">
        <v>386.1</v>
      </c>
    </row>
    <row r="206" customFormat="false" ht="12.8" hidden="false" customHeight="false" outlineLevel="0" collapsed="false">
      <c r="A206" s="3" t="n">
        <v>45989</v>
      </c>
      <c r="B206" s="1" t="s">
        <v>30</v>
      </c>
      <c r="C206" s="1" t="s">
        <v>345</v>
      </c>
      <c r="D206" s="3" t="n">
        <v>45984.543796296</v>
      </c>
      <c r="E206" s="1" t="s">
        <v>32</v>
      </c>
      <c r="F206" s="4" t="s">
        <v>332</v>
      </c>
      <c r="G206" s="1" t="s">
        <v>333</v>
      </c>
      <c r="H206" s="1" t="s">
        <v>167</v>
      </c>
      <c r="I206" s="4" t="n">
        <v>1</v>
      </c>
      <c r="J206" s="5" t="n">
        <v>850</v>
      </c>
      <c r="K206" s="6" t="n">
        <v>0.44</v>
      </c>
      <c r="L206" s="5" t="n">
        <v>-374</v>
      </c>
      <c r="M206" s="5" t="n">
        <v>0</v>
      </c>
      <c r="N206" s="5" t="n">
        <v>-30</v>
      </c>
      <c r="O206" s="5" t="n">
        <v>0</v>
      </c>
      <c r="P206" s="5" t="n">
        <v>-4.75</v>
      </c>
      <c r="Q206" s="5" t="n">
        <v>0</v>
      </c>
      <c r="R206" s="5" t="n">
        <v>0</v>
      </c>
      <c r="S206" s="5" t="n">
        <v>0</v>
      </c>
      <c r="T206" s="5" t="n">
        <v>0</v>
      </c>
      <c r="U206" s="5" t="n">
        <v>-80</v>
      </c>
      <c r="V206" s="4"/>
      <c r="W206" s="4"/>
      <c r="X206" s="5" t="n">
        <v>0</v>
      </c>
      <c r="Y206" s="5" t="n">
        <v>361.25</v>
      </c>
    </row>
    <row r="207" customFormat="false" ht="12.8" hidden="false" customHeight="false" outlineLevel="0" collapsed="false">
      <c r="A207" s="3" t="n">
        <v>45989</v>
      </c>
      <c r="B207" s="1" t="s">
        <v>25</v>
      </c>
      <c r="C207" s="1" t="s">
        <v>345</v>
      </c>
      <c r="D207" s="3" t="n">
        <v>45984.543796296</v>
      </c>
      <c r="F207" s="4" t="s">
        <v>332</v>
      </c>
      <c r="G207" s="1" t="s">
        <v>333</v>
      </c>
      <c r="H207" s="1" t="s">
        <v>167</v>
      </c>
      <c r="I207" s="4" t="n">
        <v>1</v>
      </c>
      <c r="J207" s="5" t="n">
        <v>0</v>
      </c>
      <c r="K207" s="6" t="n">
        <v>0</v>
      </c>
      <c r="L207" s="5" t="n">
        <v>0</v>
      </c>
      <c r="M207" s="5" t="n">
        <v>0</v>
      </c>
      <c r="N207" s="5" t="n">
        <v>0</v>
      </c>
      <c r="O207" s="5" t="n">
        <v>0</v>
      </c>
      <c r="P207" s="5" t="n">
        <v>0</v>
      </c>
      <c r="Q207" s="5" t="n">
        <v>0</v>
      </c>
      <c r="R207" s="5" t="n">
        <v>0</v>
      </c>
      <c r="S207" s="5" t="n">
        <v>0</v>
      </c>
      <c r="T207" s="5" t="n">
        <v>0</v>
      </c>
      <c r="U207" s="5" t="n">
        <v>0</v>
      </c>
      <c r="V207" s="4"/>
      <c r="W207" s="4"/>
      <c r="X207" s="5" t="n">
        <v>0</v>
      </c>
      <c r="Y207" s="5" t="n">
        <v>-8.91</v>
      </c>
    </row>
    <row r="208" customFormat="false" ht="12.8" hidden="false" customHeight="false" outlineLevel="0" collapsed="false">
      <c r="A208" s="3" t="n">
        <v>45991</v>
      </c>
      <c r="B208" s="1" t="s">
        <v>30</v>
      </c>
      <c r="C208" s="1" t="s">
        <v>346</v>
      </c>
      <c r="D208" s="3" t="n">
        <v>45990.110972222</v>
      </c>
      <c r="E208" s="1" t="s">
        <v>117</v>
      </c>
      <c r="F208" s="4" t="s">
        <v>332</v>
      </c>
      <c r="G208" s="1" t="s">
        <v>333</v>
      </c>
      <c r="H208" s="1" t="s">
        <v>167</v>
      </c>
      <c r="I208" s="4" t="n">
        <v>1</v>
      </c>
      <c r="J208" s="5" t="n">
        <v>950</v>
      </c>
      <c r="K208" s="6" t="n">
        <v>0.37</v>
      </c>
      <c r="L208" s="5" t="n">
        <v>-351.5</v>
      </c>
      <c r="M208" s="5" t="n">
        <v>0</v>
      </c>
      <c r="N208" s="5" t="n">
        <v>0</v>
      </c>
      <c r="O208" s="5" t="n">
        <v>0</v>
      </c>
      <c r="P208" s="5" t="n">
        <v>-5.65</v>
      </c>
      <c r="Q208" s="5" t="n">
        <v>0</v>
      </c>
      <c r="R208" s="5" t="n">
        <v>0</v>
      </c>
      <c r="S208" s="5" t="n">
        <v>0</v>
      </c>
      <c r="T208" s="5" t="n">
        <v>0</v>
      </c>
      <c r="U208" s="5" t="n">
        <v>-46</v>
      </c>
      <c r="V208" s="4"/>
      <c r="W208" s="4"/>
      <c r="X208" s="5" t="n">
        <v>0</v>
      </c>
      <c r="Y208" s="5" t="n">
        <v>546.85</v>
      </c>
    </row>
    <row r="209" customFormat="false" ht="12.8" hidden="false" customHeight="false" outlineLevel="0" collapsed="false">
      <c r="A209" s="3" t="n">
        <v>45991</v>
      </c>
      <c r="B209" s="1" t="s">
        <v>25</v>
      </c>
      <c r="C209" s="1" t="s">
        <v>346</v>
      </c>
      <c r="D209" s="3" t="n">
        <v>45990.110972222</v>
      </c>
      <c r="F209" s="4" t="s">
        <v>332</v>
      </c>
      <c r="G209" s="1" t="s">
        <v>333</v>
      </c>
      <c r="H209" s="1" t="s">
        <v>167</v>
      </c>
      <c r="I209" s="4" t="n">
        <v>1</v>
      </c>
      <c r="J209" s="5" t="n">
        <v>0</v>
      </c>
      <c r="K209" s="6" t="n">
        <v>0</v>
      </c>
      <c r="L209" s="5" t="n">
        <v>0</v>
      </c>
      <c r="M209" s="5" t="n">
        <v>0</v>
      </c>
      <c r="N209" s="5" t="n">
        <v>0</v>
      </c>
      <c r="O209" s="5" t="n">
        <v>0</v>
      </c>
      <c r="P209" s="5" t="n">
        <v>0</v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0</v>
      </c>
      <c r="V209" s="4"/>
      <c r="W209" s="4"/>
      <c r="X209" s="5" t="n">
        <v>0</v>
      </c>
      <c r="Y209" s="5" t="n">
        <v>-10.97</v>
      </c>
    </row>
    <row r="210" customFormat="false" ht="12.8" hidden="false" customHeight="false" outlineLevel="0" collapsed="false">
      <c r="A210" s="3" t="n">
        <v>45985</v>
      </c>
      <c r="B210" s="1" t="s">
        <v>30</v>
      </c>
      <c r="C210" s="1" t="s">
        <v>347</v>
      </c>
      <c r="D210" s="3" t="n">
        <v>45981.406527777</v>
      </c>
      <c r="E210" s="1" t="s">
        <v>32</v>
      </c>
      <c r="F210" s="4" t="s">
        <v>348</v>
      </c>
      <c r="G210" s="1" t="s">
        <v>349</v>
      </c>
      <c r="H210" s="1" t="s">
        <v>350</v>
      </c>
      <c r="I210" s="4" t="n">
        <v>1</v>
      </c>
      <c r="J210" s="5" t="n">
        <v>2700</v>
      </c>
      <c r="K210" s="6" t="n">
        <v>0.41</v>
      </c>
      <c r="L210" s="5" t="n">
        <v>-1107</v>
      </c>
      <c r="M210" s="5" t="n">
        <v>0</v>
      </c>
      <c r="N210" s="5" t="n">
        <v>-30</v>
      </c>
      <c r="O210" s="5" t="n">
        <v>0</v>
      </c>
      <c r="P210" s="5" t="n">
        <v>-8.87</v>
      </c>
      <c r="Q210" s="5" t="n">
        <v>0</v>
      </c>
      <c r="R210" s="5" t="n">
        <v>0</v>
      </c>
      <c r="S210" s="5" t="n">
        <v>0</v>
      </c>
      <c r="T210" s="5" t="n">
        <v>0</v>
      </c>
      <c r="U210" s="5" t="n">
        <v>-80</v>
      </c>
      <c r="V210" s="4"/>
      <c r="W210" s="4"/>
      <c r="X210" s="5" t="n">
        <v>0</v>
      </c>
      <c r="Y210" s="5" t="n">
        <v>1474.13</v>
      </c>
    </row>
    <row r="211" customFormat="false" ht="12.8" hidden="false" customHeight="false" outlineLevel="0" collapsed="false">
      <c r="A211" s="3" t="n">
        <v>45989</v>
      </c>
      <c r="B211" s="1" t="s">
        <v>25</v>
      </c>
      <c r="C211" s="1" t="s">
        <v>351</v>
      </c>
      <c r="D211" s="3" t="n">
        <v>45989.295555555</v>
      </c>
      <c r="F211" s="4" t="s">
        <v>348</v>
      </c>
      <c r="G211" s="1" t="s">
        <v>349</v>
      </c>
      <c r="H211" s="1" t="s">
        <v>350</v>
      </c>
      <c r="I211" s="4" t="n">
        <v>1</v>
      </c>
      <c r="J211" s="5" t="n">
        <v>0</v>
      </c>
      <c r="K211" s="6" t="n">
        <v>0</v>
      </c>
      <c r="L211" s="5" t="n">
        <v>0</v>
      </c>
      <c r="M211" s="5" t="n">
        <v>0</v>
      </c>
      <c r="N211" s="5" t="n">
        <v>0</v>
      </c>
      <c r="O211" s="5" t="n">
        <v>0</v>
      </c>
      <c r="P211" s="5" t="n">
        <v>0</v>
      </c>
      <c r="Q211" s="5" t="n">
        <v>0</v>
      </c>
      <c r="R211" s="5" t="n">
        <v>0</v>
      </c>
      <c r="S211" s="5" t="n">
        <v>0</v>
      </c>
      <c r="T211" s="5" t="n">
        <v>0</v>
      </c>
      <c r="U211" s="5" t="n">
        <v>0</v>
      </c>
      <c r="V211" s="4"/>
      <c r="W211" s="4"/>
      <c r="X211" s="5" t="n">
        <v>0</v>
      </c>
      <c r="Y211" s="5" t="n">
        <v>-10.55</v>
      </c>
    </row>
    <row r="212" customFormat="false" ht="12.8" hidden="false" customHeight="false" outlineLevel="0" collapsed="false">
      <c r="A212" s="3" t="n">
        <v>45985</v>
      </c>
      <c r="B212" s="1" t="s">
        <v>25</v>
      </c>
      <c r="C212" s="1" t="s">
        <v>352</v>
      </c>
      <c r="D212" s="3" t="n">
        <v>45985.353229166</v>
      </c>
      <c r="F212" s="4" t="s">
        <v>353</v>
      </c>
      <c r="G212" s="1" t="s">
        <v>354</v>
      </c>
      <c r="H212" s="1" t="s">
        <v>355</v>
      </c>
      <c r="I212" s="4" t="n">
        <v>1</v>
      </c>
      <c r="J212" s="5" t="n">
        <v>0</v>
      </c>
      <c r="K212" s="6" t="n">
        <v>0</v>
      </c>
      <c r="L212" s="5" t="n">
        <v>0</v>
      </c>
      <c r="M212" s="5" t="n">
        <v>0</v>
      </c>
      <c r="N212" s="5" t="n">
        <v>0</v>
      </c>
      <c r="O212" s="5" t="n">
        <v>0</v>
      </c>
      <c r="P212" s="5" t="n">
        <v>0</v>
      </c>
      <c r="Q212" s="5" t="n">
        <v>0</v>
      </c>
      <c r="R212" s="5" t="n">
        <v>0</v>
      </c>
      <c r="S212" s="5" t="n">
        <v>0</v>
      </c>
      <c r="T212" s="5" t="n">
        <v>0</v>
      </c>
      <c r="U212" s="5" t="n">
        <v>0</v>
      </c>
      <c r="V212" s="4"/>
      <c r="W212" s="4"/>
      <c r="X212" s="5" t="n">
        <v>0</v>
      </c>
      <c r="Y212" s="5" t="n">
        <v>-19.78</v>
      </c>
    </row>
    <row r="213" customFormat="false" ht="12.8" hidden="false" customHeight="false" outlineLevel="0" collapsed="false">
      <c r="A213" s="3" t="n">
        <v>45986</v>
      </c>
      <c r="B213" s="1" t="s">
        <v>30</v>
      </c>
      <c r="C213" s="1" t="s">
        <v>356</v>
      </c>
      <c r="D213" s="3" t="n">
        <v>45979.320902777</v>
      </c>
      <c r="E213" s="1" t="s">
        <v>117</v>
      </c>
      <c r="F213" s="4" t="s">
        <v>353</v>
      </c>
      <c r="G213" s="1" t="s">
        <v>354</v>
      </c>
      <c r="H213" s="1" t="s">
        <v>355</v>
      </c>
      <c r="I213" s="4" t="n">
        <v>1</v>
      </c>
      <c r="J213" s="5" t="n">
        <v>1500</v>
      </c>
      <c r="K213" s="6" t="n">
        <v>0.37</v>
      </c>
      <c r="L213" s="5" t="n">
        <v>-555</v>
      </c>
      <c r="M213" s="5" t="n">
        <v>0</v>
      </c>
      <c r="N213" s="5" t="n">
        <v>0</v>
      </c>
      <c r="O213" s="5" t="n">
        <v>0</v>
      </c>
      <c r="P213" s="5" t="n">
        <v>-6.96</v>
      </c>
      <c r="Q213" s="5" t="n">
        <v>0</v>
      </c>
      <c r="R213" s="5" t="n">
        <v>0</v>
      </c>
      <c r="S213" s="5" t="n">
        <v>0</v>
      </c>
      <c r="T213" s="5" t="n">
        <v>0</v>
      </c>
      <c r="U213" s="5" t="n">
        <v>-46</v>
      </c>
      <c r="V213" s="4"/>
      <c r="W213" s="4"/>
      <c r="X213" s="5" t="n">
        <v>0</v>
      </c>
      <c r="Y213" s="5" t="n">
        <v>892.04</v>
      </c>
    </row>
    <row r="214" customFormat="false" ht="12.8" hidden="false" customHeight="false" outlineLevel="0" collapsed="false">
      <c r="A214" s="3" t="n">
        <v>45986</v>
      </c>
      <c r="B214" s="1" t="s">
        <v>25</v>
      </c>
      <c r="C214" s="1" t="s">
        <v>356</v>
      </c>
      <c r="D214" s="3" t="n">
        <v>45979.320902777</v>
      </c>
      <c r="F214" s="4" t="s">
        <v>353</v>
      </c>
      <c r="G214" s="1" t="s">
        <v>354</v>
      </c>
      <c r="H214" s="1" t="s">
        <v>355</v>
      </c>
      <c r="I214" s="4" t="n">
        <v>1</v>
      </c>
      <c r="J214" s="5" t="n">
        <v>0</v>
      </c>
      <c r="K214" s="6" t="n">
        <v>0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0</v>
      </c>
      <c r="Q214" s="5" t="n">
        <v>0</v>
      </c>
      <c r="R214" s="5" t="n">
        <v>0</v>
      </c>
      <c r="S214" s="5" t="n">
        <v>0</v>
      </c>
      <c r="T214" s="5" t="n">
        <v>0</v>
      </c>
      <c r="U214" s="5" t="n">
        <v>0</v>
      </c>
      <c r="V214" s="4"/>
      <c r="W214" s="4"/>
      <c r="X214" s="5" t="n">
        <v>0</v>
      </c>
      <c r="Y214" s="5" t="n">
        <v>-18.75</v>
      </c>
    </row>
    <row r="215" customFormat="false" ht="12.8" hidden="false" customHeight="false" outlineLevel="0" collapsed="false">
      <c r="A215" s="3" t="n">
        <v>45986</v>
      </c>
      <c r="B215" s="1" t="s">
        <v>30</v>
      </c>
      <c r="C215" s="1" t="s">
        <v>357</v>
      </c>
      <c r="D215" s="3" t="n">
        <v>45979.75125</v>
      </c>
      <c r="E215" s="1" t="s">
        <v>117</v>
      </c>
      <c r="F215" s="4" t="s">
        <v>353</v>
      </c>
      <c r="G215" s="1" t="s">
        <v>354</v>
      </c>
      <c r="H215" s="1" t="s">
        <v>355</v>
      </c>
      <c r="I215" s="4" t="n">
        <v>1</v>
      </c>
      <c r="J215" s="5" t="n">
        <v>1500</v>
      </c>
      <c r="K215" s="6" t="n">
        <v>0.37</v>
      </c>
      <c r="L215" s="5" t="n">
        <v>-555</v>
      </c>
      <c r="M215" s="5" t="n">
        <v>0</v>
      </c>
      <c r="N215" s="5" t="n">
        <v>0</v>
      </c>
      <c r="O215" s="5" t="n">
        <v>0</v>
      </c>
      <c r="P215" s="5" t="n">
        <v>-7.75</v>
      </c>
      <c r="Q215" s="5" t="n">
        <v>0</v>
      </c>
      <c r="R215" s="5" t="n">
        <v>0</v>
      </c>
      <c r="S215" s="5" t="n">
        <v>0</v>
      </c>
      <c r="T215" s="5" t="n">
        <v>0</v>
      </c>
      <c r="U215" s="5" t="n">
        <v>-46</v>
      </c>
      <c r="V215" s="4"/>
      <c r="W215" s="4"/>
      <c r="X215" s="5" t="n">
        <v>0</v>
      </c>
      <c r="Y215" s="5" t="n">
        <v>891.25</v>
      </c>
    </row>
    <row r="216" customFormat="false" ht="12.8" hidden="false" customHeight="false" outlineLevel="0" collapsed="false">
      <c r="A216" s="3" t="n">
        <v>45988</v>
      </c>
      <c r="B216" s="1" t="s">
        <v>25</v>
      </c>
      <c r="C216" s="1" t="s">
        <v>358</v>
      </c>
      <c r="D216" s="3" t="n">
        <v>45988.488981481</v>
      </c>
      <c r="F216" s="4" t="s">
        <v>353</v>
      </c>
      <c r="G216" s="1" t="s">
        <v>354</v>
      </c>
      <c r="H216" s="1" t="s">
        <v>355</v>
      </c>
      <c r="I216" s="4" t="n">
        <v>2</v>
      </c>
      <c r="J216" s="5" t="n">
        <v>0</v>
      </c>
      <c r="K216" s="6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0</v>
      </c>
      <c r="R216" s="5" t="n">
        <v>0</v>
      </c>
      <c r="S216" s="5" t="n">
        <v>0</v>
      </c>
      <c r="T216" s="5" t="n">
        <v>0</v>
      </c>
      <c r="U216" s="5" t="n">
        <v>0</v>
      </c>
      <c r="V216" s="4"/>
      <c r="W216" s="4"/>
      <c r="X216" s="5" t="n">
        <v>0</v>
      </c>
      <c r="Y216" s="5" t="n">
        <v>-41.12</v>
      </c>
    </row>
    <row r="217" customFormat="false" ht="12.8" hidden="false" customHeight="false" outlineLevel="0" collapsed="false">
      <c r="A217" s="3" t="n">
        <v>45988</v>
      </c>
      <c r="B217" s="1" t="s">
        <v>30</v>
      </c>
      <c r="C217" s="1" t="s">
        <v>359</v>
      </c>
      <c r="D217" s="3" t="n">
        <v>45985.353229166</v>
      </c>
      <c r="E217" s="1" t="s">
        <v>32</v>
      </c>
      <c r="F217" s="4" t="s">
        <v>353</v>
      </c>
      <c r="G217" s="1" t="s">
        <v>354</v>
      </c>
      <c r="H217" s="1" t="s">
        <v>355</v>
      </c>
      <c r="I217" s="4" t="n">
        <v>1</v>
      </c>
      <c r="J217" s="5" t="n">
        <v>1600</v>
      </c>
      <c r="K217" s="6" t="n">
        <v>0.41</v>
      </c>
      <c r="L217" s="5" t="n">
        <v>-656</v>
      </c>
      <c r="M217" s="5" t="n">
        <v>0</v>
      </c>
      <c r="N217" s="5" t="n">
        <v>-30</v>
      </c>
      <c r="O217" s="5" t="n">
        <v>0</v>
      </c>
      <c r="P217" s="5" t="n">
        <v>-7.61</v>
      </c>
      <c r="Q217" s="5" t="n">
        <v>0</v>
      </c>
      <c r="R217" s="5" t="n">
        <v>0</v>
      </c>
      <c r="S217" s="5" t="n">
        <v>0</v>
      </c>
      <c r="T217" s="5" t="n">
        <v>0</v>
      </c>
      <c r="U217" s="5" t="n">
        <v>-80</v>
      </c>
      <c r="V217" s="4"/>
      <c r="W217" s="4"/>
      <c r="X217" s="5" t="n">
        <v>0</v>
      </c>
      <c r="Y217" s="5" t="n">
        <v>826.39</v>
      </c>
    </row>
    <row r="218" customFormat="false" ht="12.8" hidden="false" customHeight="false" outlineLevel="0" collapsed="false">
      <c r="A218" s="3" t="n">
        <v>45988</v>
      </c>
      <c r="B218" s="1" t="s">
        <v>30</v>
      </c>
      <c r="C218" s="1" t="s">
        <v>360</v>
      </c>
      <c r="D218" s="3" t="n">
        <v>45982.433171296</v>
      </c>
      <c r="E218" s="1" t="s">
        <v>117</v>
      </c>
      <c r="F218" s="4" t="s">
        <v>353</v>
      </c>
      <c r="G218" s="1" t="s">
        <v>354</v>
      </c>
      <c r="H218" s="1" t="s">
        <v>355</v>
      </c>
      <c r="I218" s="4" t="n">
        <v>1</v>
      </c>
      <c r="J218" s="5" t="n">
        <v>1600</v>
      </c>
      <c r="K218" s="6" t="n">
        <v>0.37</v>
      </c>
      <c r="L218" s="5" t="n">
        <v>-592</v>
      </c>
      <c r="M218" s="5" t="n">
        <v>0</v>
      </c>
      <c r="N218" s="5" t="n">
        <v>0</v>
      </c>
      <c r="O218" s="5" t="n">
        <v>0</v>
      </c>
      <c r="P218" s="5" t="n">
        <v>-5.91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-46</v>
      </c>
      <c r="V218" s="4"/>
      <c r="W218" s="4"/>
      <c r="X218" s="5" t="n">
        <v>0</v>
      </c>
      <c r="Y218" s="5" t="n">
        <v>956.09</v>
      </c>
    </row>
    <row r="219" customFormat="false" ht="12.8" hidden="false" customHeight="false" outlineLevel="0" collapsed="false">
      <c r="A219" s="3" t="n">
        <v>45988</v>
      </c>
      <c r="B219" s="1" t="s">
        <v>25</v>
      </c>
      <c r="C219" s="1" t="s">
        <v>360</v>
      </c>
      <c r="D219" s="3" t="n">
        <v>45982.433171296</v>
      </c>
      <c r="F219" s="4" t="s">
        <v>353</v>
      </c>
      <c r="G219" s="1" t="s">
        <v>354</v>
      </c>
      <c r="H219" s="1" t="s">
        <v>355</v>
      </c>
      <c r="I219" s="4" t="n">
        <v>1</v>
      </c>
      <c r="J219" s="5" t="n">
        <v>0</v>
      </c>
      <c r="K219" s="6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0</v>
      </c>
      <c r="R219" s="5" t="n">
        <v>0</v>
      </c>
      <c r="S219" s="5" t="n">
        <v>0</v>
      </c>
      <c r="T219" s="5" t="n">
        <v>0</v>
      </c>
      <c r="U219" s="5" t="n">
        <v>0</v>
      </c>
      <c r="V219" s="4"/>
      <c r="W219" s="4"/>
      <c r="X219" s="5" t="n">
        <v>0</v>
      </c>
      <c r="Y219" s="5" t="n">
        <v>-18.51</v>
      </c>
    </row>
    <row r="220" customFormat="false" ht="12.8" hidden="false" customHeight="false" outlineLevel="0" collapsed="false">
      <c r="A220" s="3" t="n">
        <v>45990</v>
      </c>
      <c r="B220" s="1" t="s">
        <v>43</v>
      </c>
      <c r="C220" s="1" t="s">
        <v>361</v>
      </c>
      <c r="D220" s="3" t="n">
        <v>45967.437118055</v>
      </c>
      <c r="E220" s="1" t="s">
        <v>32</v>
      </c>
      <c r="F220" s="4" t="s">
        <v>353</v>
      </c>
      <c r="G220" s="1" t="s">
        <v>354</v>
      </c>
      <c r="H220" s="1" t="s">
        <v>355</v>
      </c>
      <c r="I220" s="4" t="n">
        <v>1</v>
      </c>
      <c r="J220" s="5" t="n">
        <v>0</v>
      </c>
      <c r="K220" s="6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-15</v>
      </c>
      <c r="S220" s="5" t="n">
        <v>0</v>
      </c>
      <c r="T220" s="5" t="n">
        <v>0</v>
      </c>
      <c r="U220" s="5" t="n">
        <v>0</v>
      </c>
      <c r="V220" s="4"/>
      <c r="W220" s="4"/>
      <c r="X220" s="5" t="n">
        <v>-80</v>
      </c>
      <c r="Y220" s="5" t="n">
        <v>-95</v>
      </c>
    </row>
    <row r="221" customFormat="false" ht="12.8" hidden="false" customHeight="false" outlineLevel="0" collapsed="false">
      <c r="A221" s="3" t="n">
        <v>45985</v>
      </c>
      <c r="B221" s="1" t="s">
        <v>25</v>
      </c>
      <c r="C221" s="1" t="s">
        <v>362</v>
      </c>
      <c r="D221" s="3" t="n">
        <v>45985.048229166</v>
      </c>
      <c r="F221" s="4" t="s">
        <v>363</v>
      </c>
      <c r="G221" s="1" t="s">
        <v>364</v>
      </c>
      <c r="H221" s="1" t="s">
        <v>365</v>
      </c>
      <c r="I221" s="4" t="n">
        <v>1</v>
      </c>
      <c r="J221" s="5" t="n">
        <v>0</v>
      </c>
      <c r="K221" s="6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4"/>
      <c r="W221" s="4"/>
      <c r="X221" s="5" t="n">
        <v>0</v>
      </c>
      <c r="Y221" s="5" t="n">
        <v>-3.94</v>
      </c>
    </row>
    <row r="222" customFormat="false" ht="12.8" hidden="false" customHeight="false" outlineLevel="0" collapsed="false">
      <c r="A222" s="3" t="n">
        <v>45988</v>
      </c>
      <c r="B222" s="1" t="s">
        <v>30</v>
      </c>
      <c r="C222" s="1" t="s">
        <v>366</v>
      </c>
      <c r="D222" s="3" t="n">
        <v>45986.010914351</v>
      </c>
      <c r="E222" s="1" t="s">
        <v>32</v>
      </c>
      <c r="F222" s="4" t="s">
        <v>363</v>
      </c>
      <c r="G222" s="1" t="s">
        <v>364</v>
      </c>
      <c r="H222" s="1" t="s">
        <v>365</v>
      </c>
      <c r="I222" s="4" t="n">
        <v>1</v>
      </c>
      <c r="J222" s="5" t="n">
        <v>1300</v>
      </c>
      <c r="K222" s="6" t="n">
        <v>0.41</v>
      </c>
      <c r="L222" s="5" t="n">
        <v>-533</v>
      </c>
      <c r="M222" s="5" t="n">
        <v>0</v>
      </c>
      <c r="N222" s="5" t="n">
        <v>-30</v>
      </c>
      <c r="O222" s="5" t="n">
        <v>0</v>
      </c>
      <c r="P222" s="5" t="n">
        <v>-6.58</v>
      </c>
      <c r="Q222" s="5" t="n">
        <v>0</v>
      </c>
      <c r="R222" s="5" t="n">
        <v>0</v>
      </c>
      <c r="S222" s="5" t="n">
        <v>0</v>
      </c>
      <c r="T222" s="5" t="n">
        <v>0</v>
      </c>
      <c r="U222" s="5" t="n">
        <v>-80</v>
      </c>
      <c r="V222" s="4"/>
      <c r="W222" s="4"/>
      <c r="X222" s="5" t="n">
        <v>0</v>
      </c>
      <c r="Y222" s="5" t="n">
        <v>650.42</v>
      </c>
    </row>
    <row r="223" customFormat="false" ht="12.8" hidden="false" customHeight="false" outlineLevel="0" collapsed="false">
      <c r="A223" s="3" t="n">
        <v>45988</v>
      </c>
      <c r="B223" s="1" t="s">
        <v>25</v>
      </c>
      <c r="C223" s="1" t="s">
        <v>366</v>
      </c>
      <c r="D223" s="3" t="n">
        <v>45986.010914351</v>
      </c>
      <c r="F223" s="4" t="s">
        <v>363</v>
      </c>
      <c r="G223" s="1" t="s">
        <v>364</v>
      </c>
      <c r="H223" s="1" t="s">
        <v>365</v>
      </c>
      <c r="I223" s="4" t="n">
        <v>1</v>
      </c>
      <c r="J223" s="5" t="n">
        <v>0</v>
      </c>
      <c r="K223" s="6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</v>
      </c>
      <c r="R223" s="5" t="n">
        <v>0</v>
      </c>
      <c r="S223" s="5" t="n">
        <v>0</v>
      </c>
      <c r="T223" s="5" t="n">
        <v>0</v>
      </c>
      <c r="U223" s="5" t="n">
        <v>0</v>
      </c>
      <c r="V223" s="4"/>
      <c r="W223" s="4"/>
      <c r="X223" s="5" t="n">
        <v>0</v>
      </c>
      <c r="Y223" s="5" t="n">
        <v>-15.55</v>
      </c>
    </row>
    <row r="224" customFormat="false" ht="12.8" hidden="false" customHeight="false" outlineLevel="0" collapsed="false">
      <c r="A224" s="3" t="n">
        <v>45988</v>
      </c>
      <c r="B224" s="1" t="s">
        <v>25</v>
      </c>
      <c r="C224" s="1" t="s">
        <v>367</v>
      </c>
      <c r="D224" s="3" t="n">
        <v>45988.690347222</v>
      </c>
      <c r="F224" s="4" t="s">
        <v>363</v>
      </c>
      <c r="G224" s="1" t="s">
        <v>364</v>
      </c>
      <c r="H224" s="1" t="s">
        <v>365</v>
      </c>
      <c r="I224" s="4" t="n">
        <v>1</v>
      </c>
      <c r="J224" s="5" t="n">
        <v>0</v>
      </c>
      <c r="K224" s="6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4"/>
      <c r="W224" s="4"/>
      <c r="X224" s="5" t="n">
        <v>0</v>
      </c>
      <c r="Y224" s="5" t="n">
        <v>-6.21</v>
      </c>
    </row>
    <row r="225" customFormat="false" ht="12.8" hidden="false" customHeight="false" outlineLevel="0" collapsed="false">
      <c r="A225" s="3" t="n">
        <v>45989</v>
      </c>
      <c r="B225" s="1" t="s">
        <v>25</v>
      </c>
      <c r="C225" s="1" t="s">
        <v>368</v>
      </c>
      <c r="D225" s="3" t="n">
        <v>45989.652106481</v>
      </c>
      <c r="F225" s="4" t="s">
        <v>363</v>
      </c>
      <c r="G225" s="1" t="s">
        <v>364</v>
      </c>
      <c r="H225" s="1" t="s">
        <v>365</v>
      </c>
      <c r="I225" s="4" t="n">
        <v>1</v>
      </c>
      <c r="J225" s="5" t="n">
        <v>0</v>
      </c>
      <c r="K225" s="6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5" t="n">
        <v>0</v>
      </c>
      <c r="R225" s="5" t="n">
        <v>0</v>
      </c>
      <c r="S225" s="5" t="n">
        <v>0</v>
      </c>
      <c r="T225" s="5" t="n">
        <v>0</v>
      </c>
      <c r="U225" s="5" t="n">
        <v>0</v>
      </c>
      <c r="V225" s="4"/>
      <c r="W225" s="4"/>
      <c r="X225" s="5" t="n">
        <v>0</v>
      </c>
      <c r="Y225" s="5" t="n">
        <v>-18.42</v>
      </c>
    </row>
    <row r="226" customFormat="false" ht="12.8" hidden="false" customHeight="false" outlineLevel="0" collapsed="false">
      <c r="A226" s="3" t="n">
        <v>45990</v>
      </c>
      <c r="B226" s="1" t="s">
        <v>30</v>
      </c>
      <c r="C226" s="1" t="s">
        <v>369</v>
      </c>
      <c r="D226" s="3" t="n">
        <v>45982.387141203</v>
      </c>
      <c r="E226" s="1" t="s">
        <v>32</v>
      </c>
      <c r="F226" s="4" t="s">
        <v>363</v>
      </c>
      <c r="G226" s="1" t="s">
        <v>364</v>
      </c>
      <c r="H226" s="1" t="s">
        <v>365</v>
      </c>
      <c r="I226" s="4" t="n">
        <v>1</v>
      </c>
      <c r="J226" s="5" t="n">
        <v>1300</v>
      </c>
      <c r="K226" s="6" t="n">
        <v>0.41</v>
      </c>
      <c r="L226" s="5" t="n">
        <v>-533</v>
      </c>
      <c r="M226" s="5" t="n">
        <v>0</v>
      </c>
      <c r="N226" s="5" t="n">
        <v>-30</v>
      </c>
      <c r="O226" s="5" t="n">
        <v>0</v>
      </c>
      <c r="P226" s="5" t="n">
        <v>-6.11</v>
      </c>
      <c r="Q226" s="5" t="n">
        <v>0</v>
      </c>
      <c r="R226" s="5" t="n">
        <v>0</v>
      </c>
      <c r="S226" s="5" t="n">
        <v>0</v>
      </c>
      <c r="T226" s="5" t="n">
        <v>0</v>
      </c>
      <c r="U226" s="5" t="n">
        <v>-80</v>
      </c>
      <c r="V226" s="4"/>
      <c r="W226" s="4"/>
      <c r="X226" s="5" t="n">
        <v>0</v>
      </c>
      <c r="Y226" s="5" t="n">
        <v>650.89</v>
      </c>
    </row>
    <row r="227" customFormat="false" ht="12.8" hidden="false" customHeight="false" outlineLevel="0" collapsed="false">
      <c r="A227" s="3" t="n">
        <v>45990</v>
      </c>
      <c r="B227" s="1" t="s">
        <v>25</v>
      </c>
      <c r="C227" s="1" t="s">
        <v>369</v>
      </c>
      <c r="D227" s="3" t="n">
        <v>45982.387141203</v>
      </c>
      <c r="F227" s="4" t="s">
        <v>363</v>
      </c>
      <c r="G227" s="1" t="s">
        <v>364</v>
      </c>
      <c r="H227" s="1" t="s">
        <v>365</v>
      </c>
      <c r="I227" s="4" t="n">
        <v>1</v>
      </c>
      <c r="J227" s="5" t="n">
        <v>0</v>
      </c>
      <c r="K227" s="6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0</v>
      </c>
      <c r="R227" s="5" t="n">
        <v>0</v>
      </c>
      <c r="S227" s="5" t="n">
        <v>0</v>
      </c>
      <c r="T227" s="5" t="n">
        <v>0</v>
      </c>
      <c r="U227" s="5" t="n">
        <v>0</v>
      </c>
      <c r="V227" s="4"/>
      <c r="W227" s="4"/>
      <c r="X227" s="5" t="n">
        <v>0</v>
      </c>
      <c r="Y227" s="5" t="n">
        <v>-6.3</v>
      </c>
    </row>
    <row r="228" customFormat="false" ht="12.8" hidden="false" customHeight="false" outlineLevel="0" collapsed="false">
      <c r="A228" s="3" t="n">
        <v>45990</v>
      </c>
      <c r="B228" s="1" t="s">
        <v>30</v>
      </c>
      <c r="C228" s="1" t="s">
        <v>370</v>
      </c>
      <c r="D228" s="3" t="n">
        <v>45987.641759259</v>
      </c>
      <c r="E228" s="1" t="s">
        <v>32</v>
      </c>
      <c r="F228" s="4" t="s">
        <v>363</v>
      </c>
      <c r="G228" s="1" t="s">
        <v>364</v>
      </c>
      <c r="H228" s="1" t="s">
        <v>365</v>
      </c>
      <c r="I228" s="4" t="n">
        <v>1</v>
      </c>
      <c r="J228" s="5" t="n">
        <v>1300</v>
      </c>
      <c r="K228" s="6" t="n">
        <v>0.41</v>
      </c>
      <c r="L228" s="5" t="n">
        <v>-533</v>
      </c>
      <c r="M228" s="5" t="n">
        <v>0</v>
      </c>
      <c r="N228" s="5" t="n">
        <v>-30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-80</v>
      </c>
      <c r="V228" s="4"/>
      <c r="W228" s="4"/>
      <c r="X228" s="5" t="n">
        <v>0</v>
      </c>
      <c r="Y228" s="5" t="n">
        <v>657</v>
      </c>
    </row>
    <row r="229" customFormat="false" ht="12.8" hidden="false" customHeight="false" outlineLevel="0" collapsed="false">
      <c r="A229" s="3" t="n">
        <v>45985</v>
      </c>
      <c r="B229" s="1" t="s">
        <v>30</v>
      </c>
      <c r="C229" s="1" t="s">
        <v>371</v>
      </c>
      <c r="D229" s="3" t="n">
        <v>45979.655590277</v>
      </c>
      <c r="E229" s="1" t="s">
        <v>117</v>
      </c>
      <c r="F229" s="4" t="s">
        <v>372</v>
      </c>
      <c r="G229" s="1" t="s">
        <v>373</v>
      </c>
      <c r="H229" s="1" t="s">
        <v>374</v>
      </c>
      <c r="I229" s="4" t="n">
        <v>1</v>
      </c>
      <c r="J229" s="5" t="n">
        <v>2614</v>
      </c>
      <c r="K229" s="6" t="n">
        <v>0.33</v>
      </c>
      <c r="L229" s="5" t="n">
        <v>-862.62</v>
      </c>
      <c r="M229" s="5" t="n">
        <v>0</v>
      </c>
      <c r="N229" s="5" t="n">
        <v>0</v>
      </c>
      <c r="O229" s="5" t="n">
        <v>0</v>
      </c>
      <c r="P229" s="5" t="n">
        <v>-12.85</v>
      </c>
      <c r="Q229" s="5" t="n">
        <v>0</v>
      </c>
      <c r="R229" s="5" t="n">
        <v>0</v>
      </c>
      <c r="S229" s="5" t="n">
        <v>0</v>
      </c>
      <c r="T229" s="5" t="n">
        <v>0</v>
      </c>
      <c r="U229" s="5" t="n">
        <v>-66</v>
      </c>
      <c r="V229" s="4"/>
      <c r="W229" s="4"/>
      <c r="X229" s="5" t="n">
        <v>0</v>
      </c>
      <c r="Y229" s="5" t="n">
        <v>1672.53</v>
      </c>
    </row>
    <row r="230" customFormat="false" ht="12.8" hidden="false" customHeight="false" outlineLevel="0" collapsed="false">
      <c r="A230" s="3" t="n">
        <v>45986</v>
      </c>
      <c r="B230" s="1" t="s">
        <v>30</v>
      </c>
      <c r="C230" s="1" t="s">
        <v>375</v>
      </c>
      <c r="D230" s="3" t="n">
        <v>45978.213831018</v>
      </c>
      <c r="E230" s="1" t="s">
        <v>32</v>
      </c>
      <c r="F230" s="4" t="s">
        <v>372</v>
      </c>
      <c r="G230" s="1" t="s">
        <v>373</v>
      </c>
      <c r="H230" s="1" t="s">
        <v>374</v>
      </c>
      <c r="I230" s="4" t="n">
        <v>1</v>
      </c>
      <c r="J230" s="5" t="n">
        <v>2614</v>
      </c>
      <c r="K230" s="6" t="n">
        <v>0.35</v>
      </c>
      <c r="L230" s="5" t="n">
        <v>-914.9</v>
      </c>
      <c r="M230" s="5" t="n">
        <v>0</v>
      </c>
      <c r="N230" s="5" t="n">
        <v>-30</v>
      </c>
      <c r="O230" s="5" t="n">
        <v>0</v>
      </c>
      <c r="P230" s="5" t="n">
        <v>-11.52</v>
      </c>
      <c r="Q230" s="5" t="n">
        <v>0</v>
      </c>
      <c r="R230" s="5" t="n">
        <v>0</v>
      </c>
      <c r="S230" s="5" t="n">
        <v>0</v>
      </c>
      <c r="T230" s="5" t="n">
        <v>0</v>
      </c>
      <c r="U230" s="5" t="n">
        <v>-116</v>
      </c>
      <c r="V230" s="4"/>
      <c r="W230" s="4"/>
      <c r="X230" s="5" t="n">
        <v>0</v>
      </c>
      <c r="Y230" s="5" t="n">
        <v>1541.58</v>
      </c>
    </row>
    <row r="231" customFormat="false" ht="12.8" hidden="false" customHeight="false" outlineLevel="0" collapsed="false">
      <c r="A231" s="3" t="n">
        <v>45988</v>
      </c>
      <c r="B231" s="1" t="s">
        <v>25</v>
      </c>
      <c r="C231" s="1" t="s">
        <v>376</v>
      </c>
      <c r="D231" s="3" t="n">
        <v>45988.752083333</v>
      </c>
      <c r="F231" s="4" t="s">
        <v>372</v>
      </c>
      <c r="G231" s="1" t="s">
        <v>373</v>
      </c>
      <c r="H231" s="1" t="s">
        <v>374</v>
      </c>
      <c r="I231" s="4" t="n">
        <v>1</v>
      </c>
      <c r="J231" s="5" t="n">
        <v>0</v>
      </c>
      <c r="K231" s="6" t="n">
        <v>0</v>
      </c>
      <c r="L231" s="5" t="n">
        <v>0</v>
      </c>
      <c r="M231" s="5" t="n">
        <v>0</v>
      </c>
      <c r="N231" s="5" t="n">
        <v>0</v>
      </c>
      <c r="O231" s="5" t="n">
        <v>0</v>
      </c>
      <c r="P231" s="5" t="n">
        <v>0</v>
      </c>
      <c r="Q231" s="5" t="n">
        <v>0</v>
      </c>
      <c r="R231" s="5" t="n">
        <v>0</v>
      </c>
      <c r="S231" s="5" t="n">
        <v>0</v>
      </c>
      <c r="T231" s="5" t="n">
        <v>0</v>
      </c>
      <c r="U231" s="5" t="n">
        <v>0</v>
      </c>
      <c r="V231" s="4"/>
      <c r="W231" s="4"/>
      <c r="X231" s="5" t="n">
        <v>0</v>
      </c>
      <c r="Y231" s="5" t="n">
        <v>-36.21</v>
      </c>
    </row>
    <row r="232" customFormat="false" ht="12.8" hidden="false" customHeight="false" outlineLevel="0" collapsed="false">
      <c r="A232" s="3" t="n">
        <v>45985</v>
      </c>
      <c r="B232" s="1" t="s">
        <v>377</v>
      </c>
      <c r="C232" s="1" t="s">
        <v>283</v>
      </c>
      <c r="D232" s="3" t="n">
        <v>45975.998472222</v>
      </c>
      <c r="F232" s="4"/>
      <c r="I232" s="4" t="n">
        <v>0</v>
      </c>
      <c r="J232" s="5" t="n">
        <v>0</v>
      </c>
      <c r="K232" s="6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4"/>
      <c r="W232" s="4"/>
      <c r="X232" s="5" t="n">
        <v>0</v>
      </c>
      <c r="Y232" s="5" t="n">
        <v>-50</v>
      </c>
    </row>
    <row r="233" customFormat="false" ht="12.8" hidden="false" customHeight="false" outlineLevel="0" collapsed="false">
      <c r="A233" s="3" t="n">
        <v>45990</v>
      </c>
      <c r="B233" s="1" t="s">
        <v>377</v>
      </c>
      <c r="C233" s="1" t="s">
        <v>205</v>
      </c>
      <c r="D233" s="3" t="n">
        <v>45982.863159722</v>
      </c>
      <c r="F233" s="4"/>
      <c r="I233" s="4" t="n">
        <v>0</v>
      </c>
      <c r="J233" s="5" t="n">
        <v>0</v>
      </c>
      <c r="K233" s="6" t="n">
        <v>0</v>
      </c>
      <c r="L233" s="5" t="n">
        <v>0</v>
      </c>
      <c r="M233" s="5" t="n">
        <v>0</v>
      </c>
      <c r="N233" s="5" t="n">
        <v>0</v>
      </c>
      <c r="O233" s="5" t="n">
        <v>0</v>
      </c>
      <c r="P233" s="5" t="n">
        <v>0</v>
      </c>
      <c r="Q233" s="5" t="n">
        <v>0</v>
      </c>
      <c r="R233" s="5" t="n">
        <v>0</v>
      </c>
      <c r="S233" s="5" t="n">
        <v>0</v>
      </c>
      <c r="T233" s="5" t="n">
        <v>0</v>
      </c>
      <c r="U233" s="5" t="n">
        <v>0</v>
      </c>
      <c r="V233" s="4"/>
      <c r="W233" s="4"/>
      <c r="X233" s="5" t="n">
        <v>0</v>
      </c>
      <c r="Y233" s="5" t="n">
        <v>-50</v>
      </c>
    </row>
    <row r="234" customFormat="false" ht="12.8" hidden="false" customHeight="false" outlineLevel="0" collapsed="false">
      <c r="A234" s="3" t="n">
        <v>45990</v>
      </c>
      <c r="B234" s="1" t="s">
        <v>377</v>
      </c>
      <c r="C234" s="1" t="s">
        <v>126</v>
      </c>
      <c r="D234" s="3" t="n">
        <v>45982.877465277</v>
      </c>
      <c r="F234" s="4"/>
      <c r="I234" s="4" t="n">
        <v>0</v>
      </c>
      <c r="J234" s="5" t="n">
        <v>0</v>
      </c>
      <c r="K234" s="6" t="n">
        <v>0</v>
      </c>
      <c r="L234" s="5" t="n">
        <v>0</v>
      </c>
      <c r="M234" s="5" t="n">
        <v>0</v>
      </c>
      <c r="N234" s="5" t="n">
        <v>0</v>
      </c>
      <c r="O234" s="5" t="n">
        <v>0</v>
      </c>
      <c r="P234" s="5" t="n">
        <v>0</v>
      </c>
      <c r="Q234" s="5" t="n">
        <v>0</v>
      </c>
      <c r="R234" s="5" t="n">
        <v>0</v>
      </c>
      <c r="S234" s="5" t="n">
        <v>0</v>
      </c>
      <c r="T234" s="5" t="n">
        <v>0</v>
      </c>
      <c r="U234" s="5" t="n">
        <v>0</v>
      </c>
      <c r="V234" s="4"/>
      <c r="W234" s="4"/>
      <c r="X234" s="5" t="n">
        <v>0</v>
      </c>
      <c r="Y234" s="5" t="n">
        <v>-50</v>
      </c>
    </row>
    <row r="235" customFormat="false" ht="12.8" hidden="false" customHeight="false" outlineLevel="0" collapsed="false">
      <c r="A235" s="3" t="n">
        <v>45991</v>
      </c>
      <c r="B235" s="1" t="s">
        <v>377</v>
      </c>
      <c r="C235" s="1" t="s">
        <v>68</v>
      </c>
      <c r="D235" s="3" t="n">
        <v>45982.844652777</v>
      </c>
      <c r="F235" s="4"/>
      <c r="I235" s="4" t="n">
        <v>0</v>
      </c>
      <c r="J235" s="5" t="n">
        <v>0</v>
      </c>
      <c r="K235" s="6" t="n">
        <v>0</v>
      </c>
      <c r="L235" s="5" t="n">
        <v>0</v>
      </c>
      <c r="M235" s="5" t="n">
        <v>0</v>
      </c>
      <c r="N235" s="5" t="n">
        <v>0</v>
      </c>
      <c r="O235" s="5" t="n">
        <v>0</v>
      </c>
      <c r="P235" s="5" t="n">
        <v>0</v>
      </c>
      <c r="Q235" s="5" t="n">
        <v>0</v>
      </c>
      <c r="R235" s="5" t="n">
        <v>0</v>
      </c>
      <c r="S235" s="5" t="n">
        <v>0</v>
      </c>
      <c r="T235" s="5" t="n">
        <v>0</v>
      </c>
      <c r="U235" s="5" t="n">
        <v>0</v>
      </c>
      <c r="V235" s="4"/>
      <c r="W235" s="4"/>
      <c r="X235" s="5" t="n">
        <v>0</v>
      </c>
      <c r="Y235" s="5" t="n">
        <v>-50</v>
      </c>
    </row>
    <row r="236" customFormat="false" ht="12.8" hidden="false" customHeight="false" outlineLevel="0" collapsed="false">
      <c r="A236" s="3" t="n">
        <v>45991</v>
      </c>
      <c r="B236" s="1" t="s">
        <v>377</v>
      </c>
      <c r="C236" s="1" t="s">
        <v>258</v>
      </c>
      <c r="D236" s="3" t="n">
        <v>45982.868402777</v>
      </c>
      <c r="F236" s="4"/>
      <c r="I236" s="4" t="n">
        <v>0</v>
      </c>
      <c r="J236" s="5" t="n">
        <v>0</v>
      </c>
      <c r="K236" s="6" t="n">
        <v>0</v>
      </c>
      <c r="L236" s="5" t="n">
        <v>0</v>
      </c>
      <c r="M236" s="5" t="n">
        <v>0</v>
      </c>
      <c r="N236" s="5" t="n">
        <v>0</v>
      </c>
      <c r="O236" s="5" t="n">
        <v>0</v>
      </c>
      <c r="P236" s="5" t="n">
        <v>0</v>
      </c>
      <c r="Q236" s="5" t="n">
        <v>0</v>
      </c>
      <c r="R236" s="5" t="n">
        <v>0</v>
      </c>
      <c r="S236" s="5" t="n">
        <v>0</v>
      </c>
      <c r="T236" s="5" t="n">
        <v>0</v>
      </c>
      <c r="U236" s="5" t="n">
        <v>0</v>
      </c>
      <c r="V236" s="4"/>
      <c r="W236" s="4"/>
      <c r="X236" s="5" t="n">
        <v>0</v>
      </c>
      <c r="Y236" s="5" t="n">
        <v>-50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2026-01-12T23:54:46Z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